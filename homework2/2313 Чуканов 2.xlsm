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292\Desktop\"/>
    </mc:Choice>
  </mc:AlternateContent>
  <bookViews>
    <workbookView xWindow="0" yWindow="0" windowWidth="22260" windowHeight="12648"/>
  </bookViews>
  <sheets>
    <sheet name="Неявная схема" sheetId="1" r:id="rId1"/>
    <sheet name="Явная схема" sheetId="5" r:id="rId2"/>
  </sheets>
  <externalReferences>
    <externalReference r:id="rId3"/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5" l="1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G15" i="5"/>
  <c r="AJ13" i="5"/>
  <c r="F13" i="5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5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G19" i="1"/>
  <c r="G18" i="1" s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G17" i="1"/>
  <c r="F18" i="1"/>
  <c r="F19" i="1"/>
  <c r="C17" i="1"/>
  <c r="H18" i="1" l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C16" i="1" l="1"/>
  <c r="C15" i="1"/>
  <c r="C5" i="1" l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<sst xmlns="http://schemas.openxmlformats.org/spreadsheetml/2006/main" count="30" uniqueCount="17">
  <si>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</si>
  <si>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</si>
  <si>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</si>
  <si>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</si>
  <si>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</si>
  <si>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</si>
  <si>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</si>
  <si>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</si>
  <si>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T.start</t>
  </si>
  <si>
    <t>T.end</t>
  </si>
  <si>
    <t>T_iter</t>
  </si>
  <si>
    <t>A</t>
  </si>
  <si>
    <t>B</t>
  </si>
  <si>
    <t>C</t>
  </si>
  <si>
    <t>alpha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</si>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</sst>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6914420468333"/>
          <c:y val="5.9477127243946645E-2"/>
          <c:w val="0.84881588138336383"/>
          <c:h val="0.8435373291923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280.2011426279854</c:v>
                </c:pt>
                <c:pt idx="2">
                  <c:v>260.57053452366847</c:v>
                </c:pt>
                <c:pt idx="3">
                  <c:v>241.27335396752571</c:v>
                </c:pt>
                <c:pt idx="4">
                  <c:v>222.46874067679235</c:v>
                </c:pt>
                <c:pt idx="5">
                  <c:v>204.30702925674612</c:v>
                </c:pt>
                <c:pt idx="6">
                  <c:v>186.92727013670645</c:v>
                </c:pt>
                <c:pt idx="7">
                  <c:v>170.45510875086279</c:v>
                </c:pt>
                <c:pt idx="8">
                  <c:v>155.00107463428662</c:v>
                </c:pt>
                <c:pt idx="9">
                  <c:v>140.65931099015614</c:v>
                </c:pt>
                <c:pt idx="10">
                  <c:v>127.50675361804639</c:v>
                </c:pt>
                <c:pt idx="11">
                  <c:v>115.60274732960615</c:v>
                </c:pt>
                <c:pt idx="12">
                  <c:v>104.98906943558978</c:v>
                </c:pt>
                <c:pt idx="13">
                  <c:v>95.690314648075685</c:v>
                </c:pt>
                <c:pt idx="14">
                  <c:v>87.714584570722621</c:v>
                </c:pt>
                <c:pt idx="15">
                  <c:v>81.054418255409956</c:v>
                </c:pt>
                <c:pt idx="16">
                  <c:v>75.687898121720153</c:v>
                </c:pt>
                <c:pt idx="17">
                  <c:v>71.579867553260428</c:v>
                </c:pt>
                <c:pt idx="18">
                  <c:v>68.683202090850699</c:v>
                </c:pt>
                <c:pt idx="19">
                  <c:v>66.940084503406936</c:v>
                </c:pt>
                <c:pt idx="20">
                  <c:v>66.283244166502385</c:v>
                </c:pt>
                <c:pt idx="21">
                  <c:v>66.637132112902378</c:v>
                </c:pt>
                <c:pt idx="22">
                  <c:v>67.919013891338736</c:v>
                </c:pt>
                <c:pt idx="23">
                  <c:v>70.039972168090742</c:v>
                </c:pt>
                <c:pt idx="24">
                  <c:v>72.905819217013317</c:v>
                </c:pt>
                <c:pt idx="25">
                  <c:v>76.417925689672018</c:v>
                </c:pt>
                <c:pt idx="26">
                  <c:v>80.473976208136946</c:v>
                </c:pt>
                <c:pt idx="27">
                  <c:v>84.968664482862096</c:v>
                </c:pt>
                <c:pt idx="28">
                  <c:v>89.794341128752848</c:v>
                </c:pt>
                <c:pt idx="29">
                  <c:v>94.841626578966128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540056"/>
        <c:axId val="483540448"/>
      </c:scatterChart>
      <c:valAx>
        <c:axId val="4835400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83540448"/>
        <c:crosses val="autoZero"/>
        <c:crossBetween val="midCat"/>
      </c:valAx>
      <c:valAx>
        <c:axId val="483540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8354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280.2011426279854</c:v>
                </c:pt>
                <c:pt idx="2">
                  <c:v>260.57053452366847</c:v>
                </c:pt>
                <c:pt idx="3">
                  <c:v>241.27335396752571</c:v>
                </c:pt>
                <c:pt idx="4">
                  <c:v>222.46874067679235</c:v>
                </c:pt>
                <c:pt idx="5">
                  <c:v>204.30702925674612</c:v>
                </c:pt>
                <c:pt idx="6">
                  <c:v>186.92727013670645</c:v>
                </c:pt>
                <c:pt idx="7">
                  <c:v>170.45510875086279</c:v>
                </c:pt>
                <c:pt idx="8">
                  <c:v>155.00107463428662</c:v>
                </c:pt>
                <c:pt idx="9">
                  <c:v>140.65931099015614</c:v>
                </c:pt>
                <c:pt idx="10">
                  <c:v>127.50675361804639</c:v>
                </c:pt>
                <c:pt idx="11">
                  <c:v>115.60274732960615</c:v>
                </c:pt>
                <c:pt idx="12">
                  <c:v>104.98906943558978</c:v>
                </c:pt>
                <c:pt idx="13">
                  <c:v>95.690314648075685</c:v>
                </c:pt>
                <c:pt idx="14">
                  <c:v>87.714584570722621</c:v>
                </c:pt>
                <c:pt idx="15">
                  <c:v>81.054418255409956</c:v>
                </c:pt>
                <c:pt idx="16">
                  <c:v>75.687898121720153</c:v>
                </c:pt>
                <c:pt idx="17">
                  <c:v>71.579867553260428</c:v>
                </c:pt>
                <c:pt idx="18">
                  <c:v>68.683202090850699</c:v>
                </c:pt>
                <c:pt idx="19">
                  <c:v>66.940084503406936</c:v>
                </c:pt>
                <c:pt idx="20">
                  <c:v>66.283244166502385</c:v>
                </c:pt>
                <c:pt idx="21">
                  <c:v>66.637132112902378</c:v>
                </c:pt>
                <c:pt idx="22">
                  <c:v>67.919013891338736</c:v>
                </c:pt>
                <c:pt idx="23">
                  <c:v>70.039972168090742</c:v>
                </c:pt>
                <c:pt idx="24">
                  <c:v>72.905819217013317</c:v>
                </c:pt>
                <c:pt idx="25">
                  <c:v>76.417925689672018</c:v>
                </c:pt>
                <c:pt idx="26">
                  <c:v>80.473976208136946</c:v>
                </c:pt>
                <c:pt idx="27">
                  <c:v>84.968664482862096</c:v>
                </c:pt>
                <c:pt idx="28">
                  <c:v>89.794341128752848</c:v>
                </c:pt>
                <c:pt idx="29">
                  <c:v>94.841626578966128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5288"/>
        <c:axId val="487536688"/>
      </c:scatterChart>
      <c:valAx>
        <c:axId val="374852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536688"/>
        <c:crosses val="autoZero"/>
        <c:crossBetween val="midCat"/>
        <c:majorUnit val="2.0000000000000004E-2"/>
      </c:valAx>
      <c:valAx>
        <c:axId val="487536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8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682534</xdr:colOff>
      <xdr:row>21</xdr:row>
      <xdr:rowOff>99059</xdr:rowOff>
    </xdr:from>
    <xdr:to>
      <xdr:col>13</xdr:col>
      <xdr:colOff>424542</xdr:colOff>
      <xdr:row>44</xdr:row>
      <xdr:rowOff>141514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424541</xdr:colOff>
      <xdr:row>21</xdr:row>
      <xdr:rowOff>163285</xdr:rowOff>
    </xdr:from>
    <xdr:ext cx="480773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130628</xdr:colOff>
      <xdr:row>44</xdr:row>
      <xdr:rowOff>97971</xdr:rowOff>
    </xdr:from>
    <xdr:ext cx="433324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twoCellAnchor>
    <xdr:from>
      <xdr:col>15</xdr:col>
      <xdr:colOff>97970</xdr:colOff>
      <xdr:row>21</xdr:row>
      <xdr:rowOff>130629</xdr:rowOff>
    </xdr:from>
    <xdr:to>
      <xdr:col>27</xdr:col>
      <xdr:colOff>359229</xdr:colOff>
      <xdr:row>45</xdr:row>
      <xdr:rowOff>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87086</xdr:colOff>
      <xdr:row>21</xdr:row>
      <xdr:rowOff>119743</xdr:rowOff>
    </xdr:from>
    <xdr:ext cx="480773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𝑪</m:t>
                        </m:r>
                      </m:e>
                    </m:d>
                  </m:oMath>
                </m:oMathPara>
              </a14:m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𝑻, [𝑪]</a:t>
              </a:r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27</xdr:col>
      <xdr:colOff>108857</xdr:colOff>
      <xdr:row>44</xdr:row>
      <xdr:rowOff>130629</xdr:rowOff>
    </xdr:from>
    <xdr:ext cx="480773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/>
            <xdr:cNvSpPr txBox="1"/>
          </xdr:nvSpPr>
          <xdr:spPr>
            <a:xfrm>
              <a:off x="13672457" y="8273143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10" name="TextBox 9"/>
            <xdr:cNvSpPr txBox="1"/>
          </xdr:nvSpPr>
          <xdr:spPr>
            <a:xfrm>
              <a:off x="13672457" y="8273143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79292/Downloads/&#1052;&#1072;&#1082;&#1072;&#1085;%20&#1048;.%2023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omework1/2313%20&#1063;&#1091;&#1082;&#1072;&#1085;&#1086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280.20114262798575</v>
          </cell>
          <cell r="H12">
            <v>260.57053452366904</v>
          </cell>
          <cell r="I12">
            <v>241.27335396752636</v>
          </cell>
          <cell r="J12">
            <v>222.46874067679317</v>
          </cell>
          <cell r="K12">
            <v>204.30702925674697</v>
          </cell>
          <cell r="L12">
            <v>186.92727013670742</v>
          </cell>
          <cell r="M12">
            <v>170.45510875086381</v>
          </cell>
          <cell r="N12">
            <v>155.00107463428773</v>
          </cell>
          <cell r="O12">
            <v>140.65931099015722</v>
          </cell>
          <cell r="P12">
            <v>127.5067536180474</v>
          </cell>
          <cell r="Q12">
            <v>115.60274732960713</v>
          </cell>
          <cell r="R12">
            <v>104.98906943559072</v>
          </cell>
          <cell r="S12">
            <v>95.690314648076594</v>
          </cell>
          <cell r="T12">
            <v>87.714584570723446</v>
          </cell>
          <cell r="U12">
            <v>81.054418255410752</v>
          </cell>
          <cell r="V12">
            <v>75.68789812172092</v>
          </cell>
          <cell r="W12">
            <v>71.579867553261167</v>
          </cell>
          <cell r="X12">
            <v>68.68320209085141</v>
          </cell>
          <cell r="Y12">
            <v>66.940084503407604</v>
          </cell>
          <cell r="Z12">
            <v>66.283244166503039</v>
          </cell>
          <cell r="AA12">
            <v>66.637132112902975</v>
          </cell>
          <cell r="AB12">
            <v>67.919013891339318</v>
          </cell>
          <cell r="AC12">
            <v>70.039972168091296</v>
          </cell>
          <cell r="AD12">
            <v>72.905819217013814</v>
          </cell>
          <cell r="AE12">
            <v>76.417925689672472</v>
          </cell>
          <cell r="AF12">
            <v>80.473976208137344</v>
          </cell>
          <cell r="AG12">
            <v>84.968664482862408</v>
          </cell>
          <cell r="AH12">
            <v>89.794341128753075</v>
          </cell>
          <cell r="AI12">
            <v>94.841626578966242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2">
          <cell r="F12">
            <v>0</v>
          </cell>
          <cell r="G12">
            <v>3.333E-3</v>
          </cell>
          <cell r="H12">
            <v>6.6660000000000001E-3</v>
          </cell>
          <cell r="I12">
            <v>9.9990000000000009E-3</v>
          </cell>
          <cell r="J12">
            <v>1.3332E-2</v>
          </cell>
          <cell r="K12">
            <v>1.6664999999999999E-2</v>
          </cell>
          <cell r="L12">
            <v>1.9997999999999998E-2</v>
          </cell>
          <cell r="M12">
            <v>2.3330999999999998E-2</v>
          </cell>
          <cell r="N12">
            <v>2.6663999999999997E-2</v>
          </cell>
          <cell r="O12">
            <v>2.9996999999999996E-2</v>
          </cell>
          <cell r="P12">
            <v>3.3329999999999999E-2</v>
          </cell>
          <cell r="Q12">
            <v>3.6663000000000001E-2</v>
          </cell>
          <cell r="R12">
            <v>3.9996000000000004E-2</v>
          </cell>
          <cell r="S12">
            <v>4.3329000000000006E-2</v>
          </cell>
          <cell r="T12">
            <v>4.6662000000000009E-2</v>
          </cell>
          <cell r="U12">
            <v>4.9995000000000012E-2</v>
          </cell>
          <cell r="V12">
            <v>5.3328000000000014E-2</v>
          </cell>
          <cell r="W12">
            <v>5.6661000000000017E-2</v>
          </cell>
          <cell r="X12">
            <v>5.999400000000002E-2</v>
          </cell>
          <cell r="Y12">
            <v>6.3327000000000022E-2</v>
          </cell>
          <cell r="Z12">
            <v>6.6660000000000025E-2</v>
          </cell>
          <cell r="AA12">
            <v>6.9993000000000027E-2</v>
          </cell>
          <cell r="AB12">
            <v>7.332600000000003E-2</v>
          </cell>
          <cell r="AC12">
            <v>7.6659000000000033E-2</v>
          </cell>
          <cell r="AD12">
            <v>7.9992000000000035E-2</v>
          </cell>
          <cell r="AE12">
            <v>8.3325000000000038E-2</v>
          </cell>
          <cell r="AF12">
            <v>8.6658000000000041E-2</v>
          </cell>
          <cell r="AG12">
            <v>8.9991000000000043E-2</v>
          </cell>
          <cell r="AH12">
            <v>9.3324000000000046E-2</v>
          </cell>
          <cell r="AI12">
            <v>9.6657000000000048E-2</v>
          </cell>
          <cell r="AJ12">
            <v>9.9990000000000051E-2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127.80047744079764</v>
          </cell>
          <cell r="Q13">
            <v>116.51671674932982</v>
          </cell>
          <cell r="R13">
            <v>105.23295605786194</v>
          </cell>
          <cell r="S13">
            <v>96.561989352755035</v>
          </cell>
          <cell r="T13">
            <v>87.8910226476481</v>
          </cell>
          <cell r="U13">
            <v>81.842538774051818</v>
          </cell>
          <cell r="V13">
            <v>75.794054900455521</v>
          </cell>
          <cell r="W13">
            <v>72.261187114604226</v>
          </cell>
          <cell r="X13">
            <v>68.728319328752903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9"/>
  <sheetViews>
    <sheetView tabSelected="1" topLeftCell="A10" zoomScale="70" zoomScaleNormal="70" workbookViewId="0">
      <selection activeCell="AE39" sqref="AE39"/>
    </sheetView>
  </sheetViews>
  <sheetFormatPr defaultRowHeight="14.4" x14ac:dyDescent="0.3"/>
  <cols>
    <col min="3" max="3" width="10.44140625" bestFit="1" customWidth="1"/>
    <col min="5" max="36" width="7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0.43324667099999997</v>
      </c>
    </row>
    <row r="6" spans="1:36" x14ac:dyDescent="0.3">
      <c r="B6" s="2" t="s">
        <v>3</v>
      </c>
      <c r="C6" s="2">
        <v>60</v>
      </c>
      <c r="D6">
        <v>60.221287268999994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460</v>
      </c>
    </row>
    <row r="9" spans="1:36" x14ac:dyDescent="0.3">
      <c r="B9" s="2" t="s">
        <v>5</v>
      </c>
      <c r="C9" s="2">
        <v>7800</v>
      </c>
    </row>
    <row r="10" spans="1:36" x14ac:dyDescent="0.3">
      <c r="B10" s="2" t="s">
        <v>6</v>
      </c>
      <c r="C10" s="2">
        <v>46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280.2011426279854</v>
      </c>
      <c r="H13">
        <v>260.57053452366847</v>
      </c>
      <c r="I13">
        <v>241.27335396752571</v>
      </c>
      <c r="J13">
        <v>222.46874067679235</v>
      </c>
      <c r="K13">
        <v>204.30702925674612</v>
      </c>
      <c r="L13">
        <v>186.92727013670645</v>
      </c>
      <c r="M13">
        <v>170.45510875086279</v>
      </c>
      <c r="N13">
        <v>155.00107463428662</v>
      </c>
      <c r="O13">
        <v>140.65931099015614</v>
      </c>
      <c r="P13">
        <v>127.50675361804639</v>
      </c>
      <c r="Q13">
        <v>115.60274732960615</v>
      </c>
      <c r="R13">
        <v>104.98906943558978</v>
      </c>
      <c r="S13">
        <v>95.690314648075685</v>
      </c>
      <c r="T13">
        <v>87.714584570722621</v>
      </c>
      <c r="U13">
        <v>81.054418255409956</v>
      </c>
      <c r="V13">
        <v>75.687898121720153</v>
      </c>
      <c r="W13">
        <v>71.579867553260428</v>
      </c>
      <c r="X13">
        <v>68.683202090850699</v>
      </c>
      <c r="Y13">
        <v>66.940084503406936</v>
      </c>
      <c r="Z13">
        <v>66.283244166502385</v>
      </c>
      <c r="AA13">
        <v>66.637132112902378</v>
      </c>
      <c r="AB13">
        <v>67.919013891338736</v>
      </c>
      <c r="AC13">
        <v>70.039972168090742</v>
      </c>
      <c r="AD13">
        <v>72.905819217013317</v>
      </c>
      <c r="AE13">
        <v>76.417925689672018</v>
      </c>
      <c r="AF13">
        <v>80.473976208136946</v>
      </c>
      <c r="AG13">
        <v>84.968664482862096</v>
      </c>
      <c r="AH13">
        <v>89.794341128752848</v>
      </c>
      <c r="AI13">
        <v>94.841626578966128</v>
      </c>
      <c r="AJ13">
        <f>C13</f>
        <v>100</v>
      </c>
    </row>
    <row r="15" spans="1:36" x14ac:dyDescent="0.3">
      <c r="B15" s="7" t="s">
        <v>11</v>
      </c>
      <c r="C15">
        <f xml:space="preserve"> C10/(C4^2)</f>
        <v>4140828.1242165621</v>
      </c>
      <c r="E15" t="s">
        <v>10</v>
      </c>
      <c r="G15" s="1">
        <f t="shared" ref="G15:AH15" si="1">G17*H15+G18</f>
        <v>280.2845120921537</v>
      </c>
      <c r="H15" s="1">
        <f t="shared" si="1"/>
        <v>260.73576311264384</v>
      </c>
      <c r="I15" s="1">
        <f t="shared" si="1"/>
        <v>241.51747131108468</v>
      </c>
      <c r="J15" s="1">
        <f t="shared" si="1"/>
        <v>222.7874141966436</v>
      </c>
      <c r="K15" s="1">
        <f t="shared" si="1"/>
        <v>204.69470412190503</v>
      </c>
      <c r="L15" s="1">
        <f t="shared" si="1"/>
        <v>187.37734377748424</v>
      </c>
      <c r="M15" s="1">
        <f t="shared" si="1"/>
        <v>170.96013071461903</v>
      </c>
      <c r="N15" s="1">
        <f t="shared" si="1"/>
        <v>155.55296157926637</v>
      </c>
      <c r="O15" s="1">
        <f t="shared" si="1"/>
        <v>141.24956633387325</v>
      </c>
      <c r="P15" s="1">
        <f t="shared" si="1"/>
        <v>128.12668177591431</v>
      </c>
      <c r="Q15" s="1">
        <f t="shared" si="1"/>
        <v>116.24365353369114</v>
      </c>
      <c r="R15" s="1">
        <f t="shared" si="1"/>
        <v>105.64243769963798</v>
      </c>
      <c r="S15" s="1">
        <f t="shared" si="1"/>
        <v>96.347958393681154</v>
      </c>
      <c r="T15" s="1">
        <f t="shared" si="1"/>
        <v>88.368766578935293</v>
      </c>
      <c r="U15" s="1">
        <f t="shared" si="1"/>
        <v>81.697938780614734</v>
      </c>
      <c r="V15" s="1">
        <f t="shared" si="1"/>
        <v>76.31415203270376</v>
      </c>
      <c r="W15" s="1">
        <f t="shared" si="1"/>
        <v>72.182873106760013</v>
      </c>
      <c r="X15" s="1">
        <f t="shared" si="1"/>
        <v>69.257605287815437</v>
      </c>
      <c r="Y15" s="1">
        <f t="shared" si="1"/>
        <v>67.481143862800309</v>
      </c>
      <c r="Z15" s="1">
        <f t="shared" si="1"/>
        <v>66.786801156571926</v>
      </c>
      <c r="AA15" s="1">
        <f t="shared" si="1"/>
        <v>67.099572430482596</v>
      </c>
      <c r="AB15" s="1">
        <f t="shared" si="1"/>
        <v>68.337224339553686</v>
      </c>
      <c r="AC15" s="1">
        <f t="shared" si="1"/>
        <v>70.411297145054675</v>
      </c>
      <c r="AD15" s="1">
        <f t="shared" si="1"/>
        <v>73.228019904483503</v>
      </c>
      <c r="AE15" s="1">
        <f t="shared" si="1"/>
        <v>76.689144038852703</v>
      </c>
      <c r="AF15" s="1">
        <f t="shared" si="1"/>
        <v>80.692704871583288</v>
      </c>
      <c r="AG15" s="1">
        <f t="shared" si="1"/>
        <v>85.133723031206557</v>
      </c>
      <c r="AH15" s="1">
        <f t="shared" si="1"/>
        <v>89.904858287518749</v>
      </c>
      <c r="AI15" s="1">
        <f>AI17*AJ15+AI18</f>
        <v>94.897027861362744</v>
      </c>
      <c r="AJ15">
        <v>100</v>
      </c>
    </row>
    <row r="16" spans="1:36" x14ac:dyDescent="0.3">
      <c r="B16" s="7" t="s">
        <v>12</v>
      </c>
      <c r="C16">
        <f>( 2*C10)/(C4^2)+(C9*C8)/C5</f>
        <v>16563312.496866249</v>
      </c>
    </row>
    <row r="17" spans="2:35" x14ac:dyDescent="0.3">
      <c r="B17" s="7" t="s">
        <v>13</v>
      </c>
      <c r="C17">
        <f xml:space="preserve"> C15</f>
        <v>4140828.1242165621</v>
      </c>
      <c r="E17" t="s">
        <v>14</v>
      </c>
      <c r="F17">
        <v>0</v>
      </c>
      <c r="G17">
        <f>$C$15/($C$16-$C$17*F17)</f>
        <v>0.25</v>
      </c>
      <c r="H17">
        <f t="shared" ref="H17:AI17" si="2">$C$15/($C$16-$C$17*G17)</f>
        <v>0.26666666666666666</v>
      </c>
      <c r="I17">
        <f t="shared" si="2"/>
        <v>0.26785714285714285</v>
      </c>
      <c r="J17">
        <f t="shared" si="2"/>
        <v>0.26794258373205743</v>
      </c>
      <c r="K17">
        <f t="shared" si="2"/>
        <v>0.26794871794871794</v>
      </c>
      <c r="L17">
        <f t="shared" si="2"/>
        <v>0.26794915836482308</v>
      </c>
      <c r="M17">
        <f t="shared" si="2"/>
        <v>0.26794918998527245</v>
      </c>
      <c r="N17">
        <f t="shared" si="2"/>
        <v>0.26794919225551855</v>
      </c>
      <c r="O17">
        <f t="shared" si="2"/>
        <v>0.26794919241851489</v>
      </c>
      <c r="P17">
        <f t="shared" si="2"/>
        <v>0.26794919243021753</v>
      </c>
      <c r="Q17">
        <f t="shared" si="2"/>
        <v>0.26794919243105775</v>
      </c>
      <c r="R17">
        <f t="shared" si="2"/>
        <v>0.26794919243111803</v>
      </c>
      <c r="S17">
        <f t="shared" si="2"/>
        <v>0.26794919243112236</v>
      </c>
      <c r="T17">
        <f t="shared" si="2"/>
        <v>0.2679491924311227</v>
      </c>
      <c r="U17">
        <f t="shared" si="2"/>
        <v>0.2679491924311227</v>
      </c>
      <c r="V17">
        <f t="shared" si="2"/>
        <v>0.2679491924311227</v>
      </c>
      <c r="W17">
        <f t="shared" si="2"/>
        <v>0.2679491924311227</v>
      </c>
      <c r="X17">
        <f t="shared" si="2"/>
        <v>0.2679491924311227</v>
      </c>
      <c r="Y17">
        <f t="shared" si="2"/>
        <v>0.2679491924311227</v>
      </c>
      <c r="Z17">
        <f t="shared" si="2"/>
        <v>0.2679491924311227</v>
      </c>
      <c r="AA17">
        <f t="shared" si="2"/>
        <v>0.2679491924311227</v>
      </c>
      <c r="AB17">
        <f t="shared" si="2"/>
        <v>0.2679491924311227</v>
      </c>
      <c r="AC17">
        <f t="shared" si="2"/>
        <v>0.2679491924311227</v>
      </c>
      <c r="AD17">
        <f t="shared" si="2"/>
        <v>0.2679491924311227</v>
      </c>
      <c r="AE17">
        <f t="shared" si="2"/>
        <v>0.2679491924311227</v>
      </c>
      <c r="AF17">
        <f t="shared" si="2"/>
        <v>0.2679491924311227</v>
      </c>
      <c r="AG17">
        <f t="shared" si="2"/>
        <v>0.2679491924311227</v>
      </c>
      <c r="AH17">
        <f t="shared" si="2"/>
        <v>0.2679491924311227</v>
      </c>
      <c r="AI17">
        <f t="shared" si="2"/>
        <v>0.2679491924311227</v>
      </c>
    </row>
    <row r="18" spans="2:35" x14ac:dyDescent="0.3">
      <c r="E18" t="s">
        <v>15</v>
      </c>
      <c r="F18">
        <f>F13</f>
        <v>300</v>
      </c>
      <c r="G18">
        <f>(F18*$C$17-G19)/($C$16-$C$17*F17)</f>
        <v>215.10057131399273</v>
      </c>
      <c r="H18">
        <f t="shared" ref="H18:AI18" si="3">(G18*$C$17-H19)/($C$16-$C$17*G17)</f>
        <v>196.33110409635458</v>
      </c>
      <c r="I18">
        <f t="shared" si="3"/>
        <v>181.84227107984086</v>
      </c>
      <c r="J18">
        <f t="shared" si="3"/>
        <v>167.94098629795133</v>
      </c>
      <c r="K18">
        <f t="shared" si="3"/>
        <v>154.48718508409195</v>
      </c>
      <c r="L18">
        <f t="shared" si="3"/>
        <v>141.56872063856193</v>
      </c>
      <c r="M18">
        <f t="shared" si="3"/>
        <v>129.27984065964441</v>
      </c>
      <c r="N18">
        <f t="shared" si="3"/>
        <v>117.70525437366275</v>
      </c>
      <c r="O18">
        <f t="shared" si="3"/>
        <v>106.91812542475297</v>
      </c>
      <c r="P18">
        <f t="shared" si="3"/>
        <v>96.979288686423757</v>
      </c>
      <c r="Q18">
        <f t="shared" si="3"/>
        <v>87.936847665624825</v>
      </c>
      <c r="R18">
        <f t="shared" si="3"/>
        <v>79.82608005566415</v>
      </c>
      <c r="S18">
        <f t="shared" si="3"/>
        <v>72.669618752721078</v>
      </c>
      <c r="T18">
        <f t="shared" si="3"/>
        <v>66.477869859382267</v>
      </c>
      <c r="U18">
        <f t="shared" si="3"/>
        <v>61.249623372385841</v>
      </c>
      <c r="V18">
        <f t="shared" si="3"/>
        <v>56.972809476389209</v>
      </c>
      <c r="W18">
        <f t="shared" si="3"/>
        <v>53.625353700176412</v>
      </c>
      <c r="X18">
        <f t="shared" si="3"/>
        <v>51.176087285449675</v>
      </c>
      <c r="Y18">
        <f t="shared" si="3"/>
        <v>49.585674427838889</v>
      </c>
      <c r="Z18">
        <f t="shared" si="3"/>
        <v>48.807524911350484</v>
      </c>
      <c r="AA18">
        <f t="shared" si="3"/>
        <v>48.788668355714719</v>
      </c>
      <c r="AB18">
        <f t="shared" si="3"/>
        <v>49.470574131508471</v>
      </c>
      <c r="AC18">
        <f t="shared" si="3"/>
        <v>50.789908348318136</v>
      </c>
      <c r="AD18">
        <f t="shared" si="3"/>
        <v>52.679225691038873</v>
      </c>
      <c r="AE18">
        <f t="shared" si="3"/>
        <v>55.067598933429046</v>
      </c>
      <c r="AF18">
        <f t="shared" si="3"/>
        <v>57.881192536716625</v>
      </c>
      <c r="AG18">
        <f t="shared" si="3"/>
        <v>61.043788857431387</v>
      </c>
      <c r="AH18">
        <f t="shared" si="3"/>
        <v>64.477276307952849</v>
      </c>
      <c r="AI18">
        <f t="shared" si="3"/>
        <v>68.102108618250483</v>
      </c>
    </row>
    <row r="19" spans="2:35" x14ac:dyDescent="0.3">
      <c r="E19" t="s">
        <v>16</v>
      </c>
      <c r="F19">
        <f xml:space="preserve"> -(($C$9*$C$8)/$C$5)*F13</f>
        <v>-2484496874.5299373</v>
      </c>
      <c r="G19">
        <f t="shared" ref="G19:AI19" si="4" xml:space="preserve"> -(($C$9*$C$8)/$C$5)*G13</f>
        <v>-2320529543.6631565</v>
      </c>
      <c r="H19">
        <f t="shared" si="4"/>
        <v>-2157955595.3954983</v>
      </c>
      <c r="I19">
        <f t="shared" si="4"/>
        <v>-1998142979.4655762</v>
      </c>
      <c r="J19">
        <f t="shared" si="4"/>
        <v>-1842409636.3070056</v>
      </c>
      <c r="K19">
        <f t="shared" si="4"/>
        <v>-1692000585.4429407</v>
      </c>
      <c r="L19">
        <f t="shared" si="4"/>
        <v>-1548067394.7302015</v>
      </c>
      <c r="M19">
        <f t="shared" si="4"/>
        <v>-1411650616.4639306</v>
      </c>
      <c r="N19">
        <f t="shared" si="4"/>
        <v>-1283665618.258889</v>
      </c>
      <c r="O19">
        <f t="shared" si="4"/>
        <v>-1164892061.7619247</v>
      </c>
      <c r="P19">
        <f t="shared" si="4"/>
        <v>-1055967102.8183167</v>
      </c>
      <c r="Q19">
        <f t="shared" si="4"/>
        <v>-957382214.75826836</v>
      </c>
      <c r="R19">
        <f t="shared" si="4"/>
        <v>-869483382.90843129</v>
      </c>
      <c r="S19">
        <f t="shared" si="4"/>
        <v>-792474292.21976769</v>
      </c>
      <c r="T19">
        <f t="shared" si="4"/>
        <v>-726422037.38884068</v>
      </c>
      <c r="U19">
        <f t="shared" si="4"/>
        <v>-671264829.40802777</v>
      </c>
      <c r="V19">
        <f t="shared" si="4"/>
        <v>-626821154.4105134</v>
      </c>
      <c r="W19">
        <f t="shared" si="4"/>
        <v>-592799857.38447464</v>
      </c>
      <c r="X19">
        <f t="shared" si="4"/>
        <v>-568810669.75808871</v>
      </c>
      <c r="Y19">
        <f t="shared" si="4"/>
        <v>-554374769.09828138</v>
      </c>
      <c r="Z19">
        <f t="shared" si="4"/>
        <v>-548935043.21793294</v>
      </c>
      <c r="AA19">
        <f t="shared" si="4"/>
        <v>-551865821.54048157</v>
      </c>
      <c r="AB19">
        <f t="shared" si="4"/>
        <v>-562481925.78062165</v>
      </c>
      <c r="AC19">
        <f t="shared" si="4"/>
        <v>-580046973.14595079</v>
      </c>
      <c r="AD19">
        <f t="shared" si="4"/>
        <v>-603780933.26571405</v>
      </c>
      <c r="AE19">
        <f t="shared" si="4"/>
        <v>-632866991.78017044</v>
      </c>
      <c r="AF19">
        <f t="shared" si="4"/>
        <v>-666457807.90037596</v>
      </c>
      <c r="AG19">
        <f t="shared" si="4"/>
        <v>-703681271.13551259</v>
      </c>
      <c r="AH19">
        <f t="shared" si="4"/>
        <v>-743645866.28287148</v>
      </c>
      <c r="AI19">
        <f t="shared" si="4"/>
        <v>-785445749.3692559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17"/>
  <sheetViews>
    <sheetView zoomScale="70" zoomScaleNormal="70" workbookViewId="0">
      <selection activeCell="G13" sqref="G13:AI13"/>
    </sheetView>
  </sheetViews>
  <sheetFormatPr defaultRowHeight="14.4" x14ac:dyDescent="0.3"/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0.43324667099999997</v>
      </c>
    </row>
    <row r="6" spans="1:36" x14ac:dyDescent="0.3">
      <c r="B6" s="2" t="s">
        <v>3</v>
      </c>
      <c r="C6" s="2">
        <v>60</v>
      </c>
      <c r="D6">
        <v>60.221287268999994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460</v>
      </c>
    </row>
    <row r="9" spans="1:36" x14ac:dyDescent="0.3">
      <c r="B9" s="2" t="s">
        <v>5</v>
      </c>
      <c r="C9" s="2">
        <v>7800</v>
      </c>
    </row>
    <row r="10" spans="1:36" x14ac:dyDescent="0.3">
      <c r="B10" s="2" t="s">
        <v>6</v>
      </c>
      <c r="C10" s="2">
        <v>46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5" spans="1:36" x14ac:dyDescent="0.3">
      <c r="B15" s="7"/>
      <c r="E15" t="s">
        <v>10</v>
      </c>
      <c r="G15" s="1">
        <f>G13+(($C$10*$C$5)/($C$9*$C$8))*((H13-2*G13+F13)/($C$4^2))</f>
        <v>150</v>
      </c>
      <c r="H15" s="1">
        <f t="shared" ref="H15:AI15" si="1">H13+(($C$10*$C$5)/($C$9*$C$8))*((I13-2*H13+G13)/($C$4^2))</f>
        <v>0</v>
      </c>
      <c r="I15" s="1">
        <f t="shared" si="1"/>
        <v>0</v>
      </c>
      <c r="J15" s="1">
        <f t="shared" si="1"/>
        <v>0</v>
      </c>
      <c r="K15" s="1">
        <f t="shared" si="1"/>
        <v>0</v>
      </c>
      <c r="L15" s="1">
        <f t="shared" si="1"/>
        <v>0</v>
      </c>
      <c r="M15" s="1">
        <f t="shared" si="1"/>
        <v>0</v>
      </c>
      <c r="N15" s="1">
        <f t="shared" si="1"/>
        <v>0</v>
      </c>
      <c r="O15" s="1">
        <f t="shared" si="1"/>
        <v>0</v>
      </c>
      <c r="P15" s="1">
        <f t="shared" si="1"/>
        <v>0</v>
      </c>
      <c r="Q15" s="1">
        <f t="shared" si="1"/>
        <v>0</v>
      </c>
      <c r="R15" s="1">
        <f t="shared" si="1"/>
        <v>0</v>
      </c>
      <c r="S15" s="1">
        <f t="shared" si="1"/>
        <v>0</v>
      </c>
      <c r="T15" s="1">
        <f t="shared" si="1"/>
        <v>0</v>
      </c>
      <c r="U15" s="1">
        <f t="shared" si="1"/>
        <v>0</v>
      </c>
      <c r="V15" s="1">
        <f t="shared" si="1"/>
        <v>0</v>
      </c>
      <c r="W15" s="1">
        <f t="shared" si="1"/>
        <v>0</v>
      </c>
      <c r="X15" s="1">
        <f t="shared" si="1"/>
        <v>0</v>
      </c>
      <c r="Y15" s="1">
        <f t="shared" si="1"/>
        <v>0</v>
      </c>
      <c r="Z15" s="1">
        <f t="shared" si="1"/>
        <v>0</v>
      </c>
      <c r="AA15" s="1">
        <f t="shared" si="1"/>
        <v>0</v>
      </c>
      <c r="AB15" s="1">
        <f t="shared" si="1"/>
        <v>0</v>
      </c>
      <c r="AC15" s="1">
        <f t="shared" si="1"/>
        <v>0</v>
      </c>
      <c r="AD15" s="1">
        <f t="shared" si="1"/>
        <v>0</v>
      </c>
      <c r="AE15" s="1">
        <f t="shared" si="1"/>
        <v>0</v>
      </c>
      <c r="AF15" s="1">
        <f t="shared" si="1"/>
        <v>0</v>
      </c>
      <c r="AG15" s="1">
        <f t="shared" si="1"/>
        <v>0</v>
      </c>
      <c r="AH15" s="1">
        <f t="shared" si="1"/>
        <v>0</v>
      </c>
      <c r="AI15" s="1">
        <f t="shared" si="1"/>
        <v>50</v>
      </c>
    </row>
    <row r="16" spans="1:36" x14ac:dyDescent="0.3">
      <c r="B16" s="7"/>
    </row>
    <row r="17" spans="2:2" x14ac:dyDescent="0.3">
      <c r="B17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Чуканов</dc:creator>
  <cp:lastModifiedBy>Илья Чуканов</cp:lastModifiedBy>
  <dcterms:created xsi:type="dcterms:W3CDTF">2015-06-05T18:17:20Z</dcterms:created>
  <dcterms:modified xsi:type="dcterms:W3CDTF">2021-10-18T18:12:56Z</dcterms:modified>
</cp:coreProperties>
</file>