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79292\Desktop\"/>
    </mc:Choice>
  </mc:AlternateContent>
  <bookViews>
    <workbookView xWindow="0" yWindow="0" windowWidth="22260" windowHeight="12648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5" i="1" l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G15" i="1"/>
  <c r="C5" i="1"/>
  <c r="AJ13" i="1"/>
  <c r="F13" i="1"/>
  <c r="H12" i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G12" i="1"/>
</calcChain>
</file>

<file path=xl/sharedStrings.xml><?xml version="1.0" encoding="utf-8"?>
<sst xmlns="http://schemas.openxmlformats.org/spreadsheetml/2006/main" count="12" uniqueCount="11">
  <si>
    <t>L</t>
  </si>
  <si>
    <t>dx</t>
  </si>
  <si>
    <t>dt</t>
  </si>
  <si>
    <t>t</t>
  </si>
  <si>
    <t>Cp</t>
  </si>
  <si>
    <t>ro</t>
  </si>
  <si>
    <t>lamda</t>
  </si>
  <si>
    <t>T</t>
  </si>
  <si>
    <t>T.start</t>
  </si>
  <si>
    <t>T.end</t>
  </si>
  <si>
    <t>T_iter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</si>
</sst>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7" formatCode="0.0000"/>
    <numFmt numFmtId="168" formatCode="0.00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67" fontId="0" fillId="0" borderId="1" xfId="0" applyNumberFormat="1" applyBorder="1" applyAlignment="1">
      <alignment horizontal="center"/>
    </xf>
    <xf numFmtId="168" fontId="0" fillId="0" borderId="1" xfId="0" applyNumberFormat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6914420468333"/>
          <c:y val="5.9477127243946645E-2"/>
          <c:w val="0.84881588138336383"/>
          <c:h val="0.84353732919239"/>
        </c:manualLayout>
      </c:layout>
      <c:scatterChart>
        <c:scatterStyle val="smoothMarker"/>
        <c:varyColors val="0"/>
        <c:ser>
          <c:idx val="0"/>
          <c:order val="0"/>
          <c:spPr>
            <a:ln w="317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Sheet1!$F$12:$AJ$12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3.333E-3</c:v>
                </c:pt>
                <c:pt idx="2">
                  <c:v>6.6660000000000001E-3</c:v>
                </c:pt>
                <c:pt idx="3">
                  <c:v>9.9990000000000009E-3</c:v>
                </c:pt>
                <c:pt idx="4">
                  <c:v>1.3332E-2</c:v>
                </c:pt>
                <c:pt idx="5">
                  <c:v>1.6664999999999999E-2</c:v>
                </c:pt>
                <c:pt idx="6">
                  <c:v>1.9997999999999998E-2</c:v>
                </c:pt>
                <c:pt idx="7">
                  <c:v>2.3330999999999998E-2</c:v>
                </c:pt>
                <c:pt idx="8">
                  <c:v>2.6663999999999997E-2</c:v>
                </c:pt>
                <c:pt idx="9">
                  <c:v>2.9996999999999996E-2</c:v>
                </c:pt>
                <c:pt idx="10">
                  <c:v>3.3329999999999999E-2</c:v>
                </c:pt>
                <c:pt idx="11">
                  <c:v>3.6663000000000001E-2</c:v>
                </c:pt>
                <c:pt idx="12">
                  <c:v>3.9996000000000004E-2</c:v>
                </c:pt>
                <c:pt idx="13">
                  <c:v>4.3329000000000006E-2</c:v>
                </c:pt>
                <c:pt idx="14">
                  <c:v>4.6662000000000009E-2</c:v>
                </c:pt>
                <c:pt idx="15">
                  <c:v>4.9995000000000012E-2</c:v>
                </c:pt>
                <c:pt idx="16">
                  <c:v>5.3328000000000014E-2</c:v>
                </c:pt>
                <c:pt idx="17">
                  <c:v>5.6661000000000017E-2</c:v>
                </c:pt>
                <c:pt idx="18">
                  <c:v>5.999400000000002E-2</c:v>
                </c:pt>
                <c:pt idx="19">
                  <c:v>6.3327000000000022E-2</c:v>
                </c:pt>
                <c:pt idx="20">
                  <c:v>6.6660000000000025E-2</c:v>
                </c:pt>
                <c:pt idx="21">
                  <c:v>6.9993000000000027E-2</c:v>
                </c:pt>
                <c:pt idx="22">
                  <c:v>7.332600000000003E-2</c:v>
                </c:pt>
                <c:pt idx="23">
                  <c:v>7.6659000000000033E-2</c:v>
                </c:pt>
                <c:pt idx="24">
                  <c:v>7.9992000000000035E-2</c:v>
                </c:pt>
                <c:pt idx="25">
                  <c:v>8.3325000000000038E-2</c:v>
                </c:pt>
                <c:pt idx="26">
                  <c:v>8.6658000000000041E-2</c:v>
                </c:pt>
                <c:pt idx="27">
                  <c:v>8.9991000000000043E-2</c:v>
                </c:pt>
                <c:pt idx="28">
                  <c:v>9.3324000000000046E-2</c:v>
                </c:pt>
                <c:pt idx="29">
                  <c:v>9.6657000000000048E-2</c:v>
                </c:pt>
                <c:pt idx="30">
                  <c:v>9.9990000000000051E-2</c:v>
                </c:pt>
              </c:numCache>
            </c:numRef>
          </c:xVal>
          <c:yVal>
            <c:numRef>
              <c:f>Sheet1!$F$13:$AJ$13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280.34602914679897</c:v>
                </c:pt>
                <c:pt idx="2">
                  <c:v>260.69205829359794</c:v>
                </c:pt>
                <c:pt idx="3">
                  <c:v>241.69187227593491</c:v>
                </c:pt>
                <c:pt idx="4">
                  <c:v>222.69168625827183</c:v>
                </c:pt>
                <c:pt idx="5">
                  <c:v>204.95390631913148</c:v>
                </c:pt>
                <c:pt idx="6">
                  <c:v>187.21612637999107</c:v>
                </c:pt>
                <c:pt idx="7">
                  <c:v>171.26453784334268</c:v>
                </c:pt>
                <c:pt idx="8">
                  <c:v>155.31294930669429</c:v>
                </c:pt>
                <c:pt idx="9">
                  <c:v>141.55671337374599</c:v>
                </c:pt>
                <c:pt idx="10">
                  <c:v>127.80047744079764</c:v>
                </c:pt>
                <c:pt idx="11">
                  <c:v>116.51671674932982</c:v>
                </c:pt>
                <c:pt idx="12">
                  <c:v>105.23295605786194</c:v>
                </c:pt>
                <c:pt idx="13">
                  <c:v>96.561989352755035</c:v>
                </c:pt>
                <c:pt idx="14">
                  <c:v>87.8910226476481</c:v>
                </c:pt>
                <c:pt idx="15">
                  <c:v>81.842538774051818</c:v>
                </c:pt>
                <c:pt idx="16">
                  <c:v>75.794054900455521</c:v>
                </c:pt>
                <c:pt idx="17">
                  <c:v>72.261187114604226</c:v>
                </c:pt>
                <c:pt idx="18">
                  <c:v>68.728319328752903</c:v>
                </c:pt>
                <c:pt idx="19">
                  <c:v>67.506108522455037</c:v>
                </c:pt>
                <c:pt idx="20">
                  <c:v>66.283897716157142</c:v>
                </c:pt>
                <c:pt idx="21">
                  <c:v>67.088962026000345</c:v>
                </c:pt>
                <c:pt idx="22">
                  <c:v>67.894026335843549</c:v>
                </c:pt>
                <c:pt idx="23">
                  <c:v>70.383127200086093</c:v>
                </c:pt>
                <c:pt idx="24">
                  <c:v>72.872228064328638</c:v>
                </c:pt>
                <c:pt idx="25">
                  <c:v>76.658491877071754</c:v>
                </c:pt>
                <c:pt idx="26">
                  <c:v>80.444755689814855</c:v>
                </c:pt>
                <c:pt idx="27">
                  <c:v>85.111263870845988</c:v>
                </c:pt>
                <c:pt idx="28">
                  <c:v>89.777772051877108</c:v>
                </c:pt>
                <c:pt idx="29">
                  <c:v>94.888886025938547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82472"/>
        <c:axId val="421178944"/>
      </c:scatterChart>
      <c:valAx>
        <c:axId val="421182472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1178944"/>
        <c:crosses val="autoZero"/>
        <c:crossBetween val="midCat"/>
      </c:valAx>
      <c:valAx>
        <c:axId val="42117894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421182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562792</xdr:colOff>
      <xdr:row>16</xdr:row>
      <xdr:rowOff>1087</xdr:rowOff>
    </xdr:from>
    <xdr:to>
      <xdr:col>15</xdr:col>
      <xdr:colOff>65314</xdr:colOff>
      <xdr:row>39</xdr:row>
      <xdr:rowOff>43541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4</xdr:col>
      <xdr:colOff>380998</xdr:colOff>
      <xdr:row>16</xdr:row>
      <xdr:rowOff>0</xdr:rowOff>
    </xdr:from>
    <xdr:ext cx="480773" cy="39138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4" name="TextBox 3"/>
            <xdr:cNvSpPr txBox="1"/>
          </xdr:nvSpPr>
          <xdr:spPr>
            <a:xfrm>
              <a:off x="2928255" y="2960914"/>
              <a:ext cx="480773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400" b="1" i="1">
                        <a:latin typeface="Cambria Math" panose="02040503050406030204" pitchFamily="18" charset="0"/>
                      </a:rPr>
                      <m:t>𝑻</m:t>
                    </m:r>
                    <m:r>
                      <a:rPr lang="en-US" sz="1400" b="1" i="1">
                        <a:latin typeface="Cambria Math" panose="02040503050406030204" pitchFamily="18" charset="0"/>
                      </a:rPr>
                      <m:t>, </m:t>
                    </m:r>
                    <m:d>
                      <m:dPr>
                        <m:begChr m:val="["/>
                        <m:endChr m:val="]"/>
                        <m:ctrlPr>
                          <a:rPr lang="en-US" sz="1400" b="1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400" b="1" i="1">
                            <a:latin typeface="Cambria Math" panose="02040503050406030204" pitchFamily="18" charset="0"/>
                          </a:rPr>
                          <m:t>𝑪</m:t>
                        </m:r>
                      </m:e>
                    </m:d>
                  </m:oMath>
                </m:oMathPara>
              </a14:m>
              <a:endParaRPr lang="en-US" sz="1400" b="1"/>
            </a:p>
            <a:p>
              <a:endParaRPr lang="ru-RU" sz="1100"/>
            </a:p>
          </xdr:txBody>
        </xdr:sp>
      </mc:Choice>
      <mc:Fallback>
        <xdr:sp macro="" textlink="">
          <xdr:nvSpPr>
            <xdr:cNvPr id="4" name="TextBox 3"/>
            <xdr:cNvSpPr txBox="1"/>
          </xdr:nvSpPr>
          <xdr:spPr>
            <a:xfrm>
              <a:off x="2928255" y="2960914"/>
              <a:ext cx="480773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 i="0">
                  <a:latin typeface="Cambria Math" panose="02040503050406030204" pitchFamily="18" charset="0"/>
                </a:rPr>
                <a:t>𝑻, [𝑪]</a:t>
              </a:r>
              <a:endParaRPr lang="en-US" sz="1400" b="1"/>
            </a:p>
            <a:p>
              <a:endParaRPr lang="ru-RU" sz="1100"/>
            </a:p>
          </xdr:txBody>
        </xdr:sp>
      </mc:Fallback>
    </mc:AlternateContent>
    <xdr:clientData/>
  </xdr:oneCellAnchor>
  <xdr:oneCellAnchor>
    <xdr:from>
      <xdr:col>13</xdr:col>
      <xdr:colOff>174171</xdr:colOff>
      <xdr:row>37</xdr:row>
      <xdr:rowOff>0</xdr:rowOff>
    </xdr:from>
    <xdr:ext cx="433324" cy="391389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5" name="TextBox 4"/>
            <xdr:cNvSpPr txBox="1"/>
          </xdr:nvSpPr>
          <xdr:spPr>
            <a:xfrm>
              <a:off x="7032171" y="6847114"/>
              <a:ext cx="433324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14:m>
                <m:oMath xmlns:m="http://schemas.openxmlformats.org/officeDocument/2006/math">
                  <m:r>
                    <a:rPr lang="en-US" sz="1400" b="1" i="1">
                      <a:latin typeface="Cambria Math" panose="02040503050406030204" pitchFamily="18" charset="0"/>
                    </a:rPr>
                    <m:t>, </m:t>
                  </m:r>
                  <m:d>
                    <m:dPr>
                      <m:begChr m:val="["/>
                      <m:endChr m:val="]"/>
                      <m:ctrlPr>
                        <a:rPr lang="en-US" sz="1400" b="1" i="1">
                          <a:latin typeface="Cambria Math" panose="02040503050406030204" pitchFamily="18" charset="0"/>
                        </a:rPr>
                      </m:ctrlPr>
                    </m:dPr>
                    <m:e>
                      <m:r>
                        <a:rPr lang="en-US" sz="1400" b="1" i="1">
                          <a:latin typeface="Cambria Math" panose="02040503050406030204" pitchFamily="18" charset="0"/>
                        </a:rPr>
                        <m:t>𝒎</m:t>
                      </m:r>
                    </m:e>
                  </m:d>
                </m:oMath>
              </a14:m>
              <a:endParaRPr lang="en-US" sz="1400" b="1"/>
            </a:p>
            <a:p>
              <a:endParaRPr lang="ru-RU" sz="1100"/>
            </a:p>
          </xdr:txBody>
        </xdr:sp>
      </mc:Choice>
      <mc:Fallback>
        <xdr:sp macro="" textlink="">
          <xdr:nvSpPr>
            <xdr:cNvPr id="5" name="TextBox 4"/>
            <xdr:cNvSpPr txBox="1"/>
          </xdr:nvSpPr>
          <xdr:spPr>
            <a:xfrm>
              <a:off x="7032171" y="6847114"/>
              <a:ext cx="433324" cy="39138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US" sz="1400" b="1"/>
                <a:t>L</a:t>
              </a:r>
              <a:r>
                <a:rPr lang="en-US" sz="1400" b="1" i="0">
                  <a:latin typeface="Cambria Math" panose="02040503050406030204" pitchFamily="18" charset="0"/>
                </a:rPr>
                <a:t>, [𝒎]</a:t>
              </a:r>
              <a:endParaRPr lang="en-US" sz="1400" b="1"/>
            </a:p>
            <a:p>
              <a:endParaRPr lang="ru-RU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3:AJ15"/>
  <sheetViews>
    <sheetView tabSelected="1" zoomScale="70" zoomScaleNormal="70" workbookViewId="0">
      <selection activeCell="F13" sqref="F13"/>
    </sheetView>
  </sheetViews>
  <sheetFormatPr defaultRowHeight="14.4" x14ac:dyDescent="0.3"/>
  <cols>
    <col min="3" max="3" width="10.44140625" bestFit="1" customWidth="1"/>
    <col min="5" max="36" width="7" customWidth="1"/>
  </cols>
  <sheetData>
    <row r="3" spans="1:36" x14ac:dyDescent="0.3">
      <c r="B3" s="2" t="s">
        <v>0</v>
      </c>
      <c r="C3" s="2">
        <v>0.1</v>
      </c>
    </row>
    <row r="4" spans="1:36" x14ac:dyDescent="0.3">
      <c r="B4" s="2" t="s">
        <v>1</v>
      </c>
      <c r="C4" s="4">
        <v>3.333E-3</v>
      </c>
    </row>
    <row r="5" spans="1:36" x14ac:dyDescent="0.3">
      <c r="B5" s="2" t="s">
        <v>2</v>
      </c>
      <c r="C5" s="4">
        <f>(C9*C8*C4^2)/(2*C10)</f>
        <v>0.43324667099999997</v>
      </c>
    </row>
    <row r="6" spans="1:36" x14ac:dyDescent="0.3">
      <c r="B6" s="2" t="s">
        <v>3</v>
      </c>
      <c r="C6" s="2">
        <v>60</v>
      </c>
      <c r="D6">
        <v>60.221287268999994</v>
      </c>
    </row>
    <row r="7" spans="1:36" x14ac:dyDescent="0.3">
      <c r="A7" s="5"/>
      <c r="B7" s="6"/>
      <c r="C7" s="6"/>
      <c r="D7" s="5"/>
    </row>
    <row r="8" spans="1:36" x14ac:dyDescent="0.3">
      <c r="B8" s="2" t="s">
        <v>4</v>
      </c>
      <c r="C8" s="2">
        <v>460</v>
      </c>
    </row>
    <row r="9" spans="1:36" x14ac:dyDescent="0.3">
      <c r="B9" s="2" t="s">
        <v>5</v>
      </c>
      <c r="C9" s="2">
        <v>7800</v>
      </c>
    </row>
    <row r="10" spans="1:36" x14ac:dyDescent="0.3">
      <c r="B10" s="2" t="s">
        <v>6</v>
      </c>
      <c r="C10" s="2">
        <v>46</v>
      </c>
    </row>
    <row r="11" spans="1:36" x14ac:dyDescent="0.3">
      <c r="A11" s="5"/>
      <c r="B11" s="6"/>
      <c r="C11" s="6"/>
      <c r="D11" s="5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1:36" x14ac:dyDescent="0.3">
      <c r="B12" s="2" t="s">
        <v>8</v>
      </c>
      <c r="C12" s="2">
        <v>300</v>
      </c>
      <c r="E12" t="s">
        <v>0</v>
      </c>
      <c r="F12" s="3">
        <v>0</v>
      </c>
      <c r="G12" s="3">
        <f>F12+$C$4</f>
        <v>3.333E-3</v>
      </c>
      <c r="H12" s="3">
        <f t="shared" ref="H12:AJ12" si="0">G12+$C$4</f>
        <v>6.6660000000000001E-3</v>
      </c>
      <c r="I12" s="3">
        <f t="shared" si="0"/>
        <v>9.9990000000000009E-3</v>
      </c>
      <c r="J12" s="3">
        <f t="shared" si="0"/>
        <v>1.3332E-2</v>
      </c>
      <c r="K12" s="3">
        <f t="shared" si="0"/>
        <v>1.6664999999999999E-2</v>
      </c>
      <c r="L12" s="3">
        <f t="shared" si="0"/>
        <v>1.9997999999999998E-2</v>
      </c>
      <c r="M12" s="3">
        <f t="shared" si="0"/>
        <v>2.3330999999999998E-2</v>
      </c>
      <c r="N12" s="3">
        <f t="shared" si="0"/>
        <v>2.6663999999999997E-2</v>
      </c>
      <c r="O12" s="3">
        <f t="shared" si="0"/>
        <v>2.9996999999999996E-2</v>
      </c>
      <c r="P12" s="3">
        <f t="shared" si="0"/>
        <v>3.3329999999999999E-2</v>
      </c>
      <c r="Q12" s="3">
        <f t="shared" si="0"/>
        <v>3.6663000000000001E-2</v>
      </c>
      <c r="R12" s="3">
        <f t="shared" si="0"/>
        <v>3.9996000000000004E-2</v>
      </c>
      <c r="S12" s="3">
        <f t="shared" si="0"/>
        <v>4.3329000000000006E-2</v>
      </c>
      <c r="T12" s="3">
        <f t="shared" si="0"/>
        <v>4.6662000000000009E-2</v>
      </c>
      <c r="U12" s="3">
        <f t="shared" si="0"/>
        <v>4.9995000000000012E-2</v>
      </c>
      <c r="V12" s="3">
        <f t="shared" si="0"/>
        <v>5.3328000000000014E-2</v>
      </c>
      <c r="W12" s="3">
        <f t="shared" si="0"/>
        <v>5.6661000000000017E-2</v>
      </c>
      <c r="X12" s="3">
        <f t="shared" si="0"/>
        <v>5.999400000000002E-2</v>
      </c>
      <c r="Y12" s="3">
        <f t="shared" si="0"/>
        <v>6.3327000000000022E-2</v>
      </c>
      <c r="Z12" s="3">
        <f t="shared" si="0"/>
        <v>6.6660000000000025E-2</v>
      </c>
      <c r="AA12" s="3">
        <f t="shared" si="0"/>
        <v>6.9993000000000027E-2</v>
      </c>
      <c r="AB12" s="3">
        <f t="shared" si="0"/>
        <v>7.332600000000003E-2</v>
      </c>
      <c r="AC12" s="3">
        <f t="shared" si="0"/>
        <v>7.6659000000000033E-2</v>
      </c>
      <c r="AD12" s="3">
        <f t="shared" si="0"/>
        <v>7.9992000000000035E-2</v>
      </c>
      <c r="AE12" s="3">
        <f t="shared" si="0"/>
        <v>8.3325000000000038E-2</v>
      </c>
      <c r="AF12" s="3">
        <f t="shared" si="0"/>
        <v>8.6658000000000041E-2</v>
      </c>
      <c r="AG12" s="3">
        <f t="shared" si="0"/>
        <v>8.9991000000000043E-2</v>
      </c>
      <c r="AH12" s="3">
        <f t="shared" si="0"/>
        <v>9.3324000000000046E-2</v>
      </c>
      <c r="AI12" s="3">
        <f t="shared" si="0"/>
        <v>9.6657000000000048E-2</v>
      </c>
      <c r="AJ12" s="3">
        <f t="shared" si="0"/>
        <v>9.9990000000000051E-2</v>
      </c>
    </row>
    <row r="13" spans="1:36" x14ac:dyDescent="0.3">
      <c r="B13" s="2" t="s">
        <v>9</v>
      </c>
      <c r="C13" s="2">
        <v>100</v>
      </c>
      <c r="E13" t="s">
        <v>7</v>
      </c>
      <c r="F13">
        <f>C12</f>
        <v>300</v>
      </c>
      <c r="G13">
        <v>280.34602914679897</v>
      </c>
      <c r="H13">
        <v>260.69205829359794</v>
      </c>
      <c r="I13">
        <v>241.69187227593491</v>
      </c>
      <c r="J13">
        <v>222.69168625827183</v>
      </c>
      <c r="K13">
        <v>204.95390631913148</v>
      </c>
      <c r="L13">
        <v>187.21612637999107</v>
      </c>
      <c r="M13">
        <v>171.26453784334268</v>
      </c>
      <c r="N13">
        <v>155.31294930669429</v>
      </c>
      <c r="O13">
        <v>141.55671337374599</v>
      </c>
      <c r="P13">
        <v>127.80047744079764</v>
      </c>
      <c r="Q13">
        <v>116.51671674932982</v>
      </c>
      <c r="R13">
        <v>105.23295605786194</v>
      </c>
      <c r="S13">
        <v>96.561989352755035</v>
      </c>
      <c r="T13">
        <v>87.8910226476481</v>
      </c>
      <c r="U13">
        <v>81.842538774051818</v>
      </c>
      <c r="V13">
        <v>75.794054900455521</v>
      </c>
      <c r="W13">
        <v>72.261187114604226</v>
      </c>
      <c r="X13">
        <v>68.728319328752903</v>
      </c>
      <c r="Y13">
        <v>67.506108522455037</v>
      </c>
      <c r="Z13">
        <v>66.283897716157142</v>
      </c>
      <c r="AA13">
        <v>67.088962026000345</v>
      </c>
      <c r="AB13">
        <v>67.894026335843549</v>
      </c>
      <c r="AC13">
        <v>70.383127200086093</v>
      </c>
      <c r="AD13">
        <v>72.872228064328638</v>
      </c>
      <c r="AE13">
        <v>76.658491877071754</v>
      </c>
      <c r="AF13">
        <v>80.444755689814855</v>
      </c>
      <c r="AG13">
        <v>85.111263870845988</v>
      </c>
      <c r="AH13">
        <v>89.777772051877108</v>
      </c>
      <c r="AI13">
        <v>94.888886025938547</v>
      </c>
      <c r="AJ13">
        <f>C13</f>
        <v>100</v>
      </c>
    </row>
    <row r="15" spans="1:36" x14ac:dyDescent="0.3">
      <c r="E15" t="s">
        <v>10</v>
      </c>
      <c r="G15" s="1">
        <f>G13+(($C$10*$C$5)/($C$9*$C$8))*((H13-2*G13+F13)/($C$4^2))</f>
        <v>280.34602914679897</v>
      </c>
      <c r="H15" s="1">
        <f t="shared" ref="H15:AI15" si="1">H13+(($C$10*$C$5)/($C$9*$C$8))*((I13-2*H13+G13)/($C$4^2))</f>
        <v>261.01895071136693</v>
      </c>
      <c r="I15" s="1">
        <f t="shared" si="1"/>
        <v>241.69187227593488</v>
      </c>
      <c r="J15" s="1">
        <f t="shared" si="1"/>
        <v>223.32288929753321</v>
      </c>
      <c r="K15" s="1">
        <f t="shared" si="1"/>
        <v>204.95390631913145</v>
      </c>
      <c r="L15" s="1">
        <f t="shared" si="1"/>
        <v>188.10922208123708</v>
      </c>
      <c r="M15" s="1">
        <f t="shared" si="1"/>
        <v>171.26453784334268</v>
      </c>
      <c r="N15" s="1">
        <f t="shared" si="1"/>
        <v>156.41062560854434</v>
      </c>
      <c r="O15" s="1">
        <f t="shared" si="1"/>
        <v>141.55671337374596</v>
      </c>
      <c r="P15" s="1">
        <f t="shared" si="1"/>
        <v>129.0367150615379</v>
      </c>
      <c r="Q15" s="1">
        <f t="shared" si="1"/>
        <v>116.51671674932979</v>
      </c>
      <c r="R15" s="1">
        <f t="shared" si="1"/>
        <v>106.53935305104243</v>
      </c>
      <c r="S15" s="1">
        <f t="shared" si="1"/>
        <v>96.56198935275502</v>
      </c>
      <c r="T15" s="1">
        <f t="shared" si="1"/>
        <v>89.202264063403419</v>
      </c>
      <c r="U15" s="1">
        <f t="shared" si="1"/>
        <v>81.842538774051803</v>
      </c>
      <c r="V15" s="1">
        <f t="shared" si="1"/>
        <v>77.051862944328022</v>
      </c>
      <c r="W15" s="1">
        <f t="shared" si="1"/>
        <v>72.261187114604212</v>
      </c>
      <c r="X15" s="1">
        <f t="shared" si="1"/>
        <v>69.883647818529624</v>
      </c>
      <c r="Y15" s="1">
        <f t="shared" si="1"/>
        <v>67.506108522455023</v>
      </c>
      <c r="Z15" s="1">
        <f t="shared" si="1"/>
        <v>67.297535274227698</v>
      </c>
      <c r="AA15" s="1">
        <f t="shared" si="1"/>
        <v>67.088962026000345</v>
      </c>
      <c r="AB15" s="1">
        <f t="shared" si="1"/>
        <v>68.736044613043219</v>
      </c>
      <c r="AC15" s="1">
        <f t="shared" si="1"/>
        <v>70.383127200086093</v>
      </c>
      <c r="AD15" s="1">
        <f t="shared" si="1"/>
        <v>73.520809538578931</v>
      </c>
      <c r="AE15" s="1">
        <f t="shared" si="1"/>
        <v>76.658491877071754</v>
      </c>
      <c r="AF15" s="1">
        <f t="shared" si="1"/>
        <v>80.884877873958871</v>
      </c>
      <c r="AG15" s="1">
        <f t="shared" si="1"/>
        <v>85.111263870845988</v>
      </c>
      <c r="AH15" s="1">
        <f t="shared" si="1"/>
        <v>90.000074948392268</v>
      </c>
      <c r="AI15" s="1">
        <f t="shared" si="1"/>
        <v>94.888886025938547</v>
      </c>
    </row>
  </sheetData>
  <conditionalFormatting sqref="F13:AJ13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</conditionalFormatting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Илья Чуканов</dc:creator>
  <cp:lastModifiedBy>Илья Чуканов</cp:lastModifiedBy>
  <dcterms:created xsi:type="dcterms:W3CDTF">2015-06-05T18:17:20Z</dcterms:created>
  <dcterms:modified xsi:type="dcterms:W3CDTF">2021-09-07T10:26:42Z</dcterms:modified>
</cp:coreProperties>
</file>