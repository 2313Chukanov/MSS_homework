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79292\Desktop\homework3\"/>
    </mc:Choice>
  </mc:AlternateContent>
  <bookViews>
    <workbookView xWindow="0" yWindow="0" windowWidth="22260" windowHeight="12648"/>
  </bookViews>
  <sheets>
    <sheet name="Неявная схема" sheetId="1" r:id="rId1"/>
    <sheet name="Явная схема" sheetId="5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5" l="1"/>
  <c r="F13" i="5"/>
  <c r="G12" i="5"/>
  <c r="H12" i="5" s="1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C5" i="5"/>
  <c r="H15" i="5" s="1"/>
  <c r="Z15" i="5" l="1"/>
  <c r="X15" i="5"/>
  <c r="R15" i="5"/>
  <c r="J15" i="5"/>
  <c r="AG15" i="5"/>
  <c r="W15" i="5"/>
  <c r="AD15" i="5"/>
  <c r="M15" i="5"/>
  <c r="AF15" i="5"/>
  <c r="P15" i="5"/>
  <c r="AE15" i="5"/>
  <c r="O15" i="5"/>
  <c r="V15" i="5"/>
  <c r="N15" i="5"/>
  <c r="AC15" i="5"/>
  <c r="U15" i="5"/>
  <c r="G15" i="5"/>
  <c r="AB15" i="5"/>
  <c r="T15" i="5"/>
  <c r="L15" i="5"/>
  <c r="AI15" i="5"/>
  <c r="AA15" i="5"/>
  <c r="S15" i="5"/>
  <c r="K15" i="5"/>
  <c r="AH15" i="5"/>
  <c r="Y15" i="5"/>
  <c r="Q15" i="5"/>
  <c r="I15" i="5"/>
  <c r="F18" i="1"/>
  <c r="C15" i="1" l="1"/>
  <c r="C17" i="1" s="1"/>
  <c r="C5" i="1" l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N19" i="1" l="1"/>
  <c r="V19" i="1"/>
  <c r="AD19" i="1"/>
  <c r="F19" i="1"/>
  <c r="AG19" i="1"/>
  <c r="Z19" i="1"/>
  <c r="S19" i="1"/>
  <c r="AA19" i="1"/>
  <c r="T19" i="1"/>
  <c r="U19" i="1"/>
  <c r="G19" i="1"/>
  <c r="O19" i="1"/>
  <c r="W19" i="1"/>
  <c r="AE19" i="1"/>
  <c r="AH19" i="1"/>
  <c r="H19" i="1"/>
  <c r="P19" i="1"/>
  <c r="X19" i="1"/>
  <c r="AF19" i="1"/>
  <c r="Q19" i="1"/>
  <c r="Y19" i="1"/>
  <c r="R19" i="1"/>
  <c r="K19" i="1"/>
  <c r="AI19" i="1"/>
  <c r="AB19" i="1"/>
  <c r="M19" i="1"/>
  <c r="I19" i="1"/>
  <c r="L19" i="1"/>
  <c r="AC19" i="1"/>
  <c r="J19" i="1"/>
  <c r="C16" i="1"/>
  <c r="G17" i="1" l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G18" i="1"/>
  <c r="H18" i="1" s="1"/>
  <c r="I18" i="1" l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AI15" i="1" s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<sst xmlns="http://schemas.openxmlformats.org/spreadsheetml/2006/main" count="30" uniqueCount="17">
  <si>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</si>
  <si>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</si>
  <si>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</si>
  <si>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</si>
  <si>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</si>
  <si>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</si>
  <si>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</si>
  <si>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</si>
  <si>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T.start</t>
  </si>
  <si>
    <t>T.end</t>
  </si>
  <si>
    <t>T_iter</t>
  </si>
  <si>
    <t>A</t>
  </si>
  <si>
    <t>B</t>
  </si>
  <si>
    <t>C</t>
  </si>
  <si>
    <t>alpha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</si>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</sst>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/>
    <xf numFmtId="164" fontId="0" fillId="0" borderId="2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6914420468333"/>
          <c:y val="5.9477127243946645E-2"/>
          <c:w val="0.84881588138336383"/>
          <c:h val="0.84353732919239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293.30210171022179</c:v>
                </c:pt>
                <c:pt idx="2">
                  <c:v>286.60454560064312</c:v>
                </c:pt>
                <c:pt idx="3">
                  <c:v>279.90767010246554</c:v>
                </c:pt>
                <c:pt idx="4">
                  <c:v>273.21180618996982</c:v>
                </c:pt>
                <c:pt idx="5">
                  <c:v>266.51727375429169</c:v>
                </c:pt>
                <c:pt idx="6">
                  <c:v>259.82437809862876</c:v>
                </c:pt>
                <c:pt idx="7">
                  <c:v>253.13340659327352</c:v>
                </c:pt>
                <c:pt idx="8">
                  <c:v>246.44462552712505</c:v>
                </c:pt>
                <c:pt idx="9">
                  <c:v>239.75827719017175</c:v>
                </c:pt>
                <c:pt idx="10">
                  <c:v>233.07457721891177</c:v>
                </c:pt>
                <c:pt idx="11">
                  <c:v>226.3937122337941</c:v>
                </c:pt>
                <c:pt idx="12">
                  <c:v>219.7158377945662</c:v>
                </c:pt>
                <c:pt idx="13">
                  <c:v>213.04107669592895</c:v>
                </c:pt>
                <c:pt idx="14">
                  <c:v>206.36951762217177</c:v>
                </c:pt>
                <c:pt idx="15">
                  <c:v>199.70121417552957</c:v>
                </c:pt>
                <c:pt idx="16">
                  <c:v>193.03618428890525</c:v>
                </c:pt>
                <c:pt idx="17">
                  <c:v>186.37441002939306</c:v>
                </c:pt>
                <c:pt idx="18">
                  <c:v>179.71583779475534</c:v>
                </c:pt>
                <c:pt idx="19">
                  <c:v>173.06037890069993</c:v>
                </c:pt>
                <c:pt idx="20">
                  <c:v>166.40791055252396</c:v>
                </c:pt>
                <c:pt idx="21">
                  <c:v>159.75827719047811</c:v>
                </c:pt>
                <c:pt idx="22">
                  <c:v>153.11129219411217</c:v>
                </c:pt>
                <c:pt idx="23">
                  <c:v>146.46673992692737</c:v>
                </c:pt>
                <c:pt idx="24">
                  <c:v>139.82437809893526</c:v>
                </c:pt>
                <c:pt idx="25">
                  <c:v>133.18394042123745</c:v>
                </c:pt>
                <c:pt idx="26">
                  <c:v>126.54513952354249</c:v>
                </c:pt>
                <c:pt idx="27">
                  <c:v>119.90767010265486</c:v>
                </c:pt>
                <c:pt idx="28">
                  <c:v>113.27121226744073</c:v>
                </c:pt>
                <c:pt idx="29">
                  <c:v>106.63543504362204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63680"/>
        <c:axId val="131962504"/>
      </c:scatterChart>
      <c:valAx>
        <c:axId val="1319636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31962504"/>
        <c:crosses val="autoZero"/>
        <c:crossBetween val="midCat"/>
      </c:valAx>
      <c:valAx>
        <c:axId val="131962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3196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293.30210171022179</c:v>
                </c:pt>
                <c:pt idx="2">
                  <c:v>286.60454560064312</c:v>
                </c:pt>
                <c:pt idx="3">
                  <c:v>279.90767010246554</c:v>
                </c:pt>
                <c:pt idx="4">
                  <c:v>273.21180618996982</c:v>
                </c:pt>
                <c:pt idx="5">
                  <c:v>266.51727375429169</c:v>
                </c:pt>
                <c:pt idx="6">
                  <c:v>259.82437809862876</c:v>
                </c:pt>
                <c:pt idx="7">
                  <c:v>253.13340659327352</c:v>
                </c:pt>
                <c:pt idx="8">
                  <c:v>246.44462552712505</c:v>
                </c:pt>
                <c:pt idx="9">
                  <c:v>239.75827719017175</c:v>
                </c:pt>
                <c:pt idx="10">
                  <c:v>233.07457721891177</c:v>
                </c:pt>
                <c:pt idx="11">
                  <c:v>226.3937122337941</c:v>
                </c:pt>
                <c:pt idx="12">
                  <c:v>219.7158377945662</c:v>
                </c:pt>
                <c:pt idx="13">
                  <c:v>213.04107669592895</c:v>
                </c:pt>
                <c:pt idx="14">
                  <c:v>206.36951762217177</c:v>
                </c:pt>
                <c:pt idx="15">
                  <c:v>199.70121417552957</c:v>
                </c:pt>
                <c:pt idx="16">
                  <c:v>193.03618428890525</c:v>
                </c:pt>
                <c:pt idx="17">
                  <c:v>186.37441002939306</c:v>
                </c:pt>
                <c:pt idx="18">
                  <c:v>179.71583779475534</c:v>
                </c:pt>
                <c:pt idx="19">
                  <c:v>173.06037890069993</c:v>
                </c:pt>
                <c:pt idx="20">
                  <c:v>166.40791055252396</c:v>
                </c:pt>
                <c:pt idx="21">
                  <c:v>159.75827719047811</c:v>
                </c:pt>
                <c:pt idx="22">
                  <c:v>153.11129219411217</c:v>
                </c:pt>
                <c:pt idx="23">
                  <c:v>146.46673992692737</c:v>
                </c:pt>
                <c:pt idx="24">
                  <c:v>139.82437809893526</c:v>
                </c:pt>
                <c:pt idx="25">
                  <c:v>133.18394042123745</c:v>
                </c:pt>
                <c:pt idx="26">
                  <c:v>126.54513952354249</c:v>
                </c:pt>
                <c:pt idx="27">
                  <c:v>119.90767010265486</c:v>
                </c:pt>
                <c:pt idx="28">
                  <c:v>113.27121226744073</c:v>
                </c:pt>
                <c:pt idx="29">
                  <c:v>106.63543504362204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59368"/>
        <c:axId val="131963288"/>
      </c:scatterChart>
      <c:valAx>
        <c:axId val="1319593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963288"/>
        <c:crosses val="autoZero"/>
        <c:crossBetween val="midCat"/>
        <c:majorUnit val="2.0000000000000004E-2"/>
      </c:valAx>
      <c:valAx>
        <c:axId val="131963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95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682534</xdr:colOff>
      <xdr:row>21</xdr:row>
      <xdr:rowOff>99059</xdr:rowOff>
    </xdr:from>
    <xdr:to>
      <xdr:col>13</xdr:col>
      <xdr:colOff>424542</xdr:colOff>
      <xdr:row>44</xdr:row>
      <xdr:rowOff>141514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424541</xdr:colOff>
      <xdr:row>21</xdr:row>
      <xdr:rowOff>163285</xdr:rowOff>
    </xdr:from>
    <xdr:ext cx="480773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362198" y="4049485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362198" y="4049485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130628</xdr:colOff>
      <xdr:row>44</xdr:row>
      <xdr:rowOff>97971</xdr:rowOff>
    </xdr:from>
    <xdr:ext cx="433324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6988628" y="8240485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988628" y="8240485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  <xdr:twoCellAnchor>
    <xdr:from>
      <xdr:col>15</xdr:col>
      <xdr:colOff>97970</xdr:colOff>
      <xdr:row>21</xdr:row>
      <xdr:rowOff>130629</xdr:rowOff>
    </xdr:from>
    <xdr:to>
      <xdr:col>27</xdr:col>
      <xdr:colOff>359229</xdr:colOff>
      <xdr:row>45</xdr:row>
      <xdr:rowOff>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87086</xdr:colOff>
      <xdr:row>21</xdr:row>
      <xdr:rowOff>119743</xdr:rowOff>
    </xdr:from>
    <xdr:ext cx="480773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8382000" y="4005943"/>
              <a:ext cx="480773" cy="39138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𝑪</m:t>
                        </m:r>
                      </m:e>
                    </m:d>
                  </m:oMath>
                </m:oMathPara>
              </a14:m>
              <a:endPara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8382000" y="4005943"/>
              <a:ext cx="480773" cy="39138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𝑻, [𝑪]</a:t>
              </a:r>
              <a:endPara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27</xdr:col>
      <xdr:colOff>108857</xdr:colOff>
      <xdr:row>44</xdr:row>
      <xdr:rowOff>130629</xdr:rowOff>
    </xdr:from>
    <xdr:ext cx="65" cy="391389"/>
    <xdr:sp macro="" textlink="">
      <xdr:nvSpPr>
        <xdr:cNvPr id="10" name="TextBox 9"/>
        <xdr:cNvSpPr txBox="1"/>
      </xdr:nvSpPr>
      <xdr:spPr>
        <a:xfrm>
          <a:off x="13672457" y="8273143"/>
          <a:ext cx="65" cy="3913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/>
          <a:endParaRPr lang="en-US" sz="1400" b="1"/>
        </a:p>
        <a:p>
          <a:endParaRPr lang="ru-RU" sz="1100"/>
        </a:p>
      </xdr:txBody>
    </xdr:sp>
    <xdr:clientData/>
  </xdr:oneCellAnchor>
  <xdr:oneCellAnchor>
    <xdr:from>
      <xdr:col>27</xdr:col>
      <xdr:colOff>76201</xdr:colOff>
      <xdr:row>44</xdr:row>
      <xdr:rowOff>32657</xdr:rowOff>
    </xdr:from>
    <xdr:ext cx="433324" cy="39138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/>
            <xdr:cNvSpPr txBox="1"/>
          </xdr:nvSpPr>
          <xdr:spPr>
            <a:xfrm>
              <a:off x="13639801" y="8175171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  <a:p>
              <a:endParaRPr lang="ru-RU" sz="1100"/>
            </a:p>
          </xdr:txBody>
        </xdr:sp>
      </mc:Choice>
      <mc:Fallback>
        <xdr:sp macro="" textlink="">
          <xdr:nvSpPr>
            <xdr:cNvPr id="8" name="TextBox 7"/>
            <xdr:cNvSpPr txBox="1"/>
          </xdr:nvSpPr>
          <xdr:spPr>
            <a:xfrm>
              <a:off x="13639801" y="8175171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9"/>
  <sheetViews>
    <sheetView tabSelected="1" topLeftCell="A4" zoomScale="70" zoomScaleNormal="70" workbookViewId="0">
      <selection activeCell="B24" sqref="B24"/>
    </sheetView>
  </sheetViews>
  <sheetFormatPr defaultRowHeight="14.4" x14ac:dyDescent="0.3"/>
  <cols>
    <col min="3" max="3" width="10.44140625" bestFit="1" customWidth="1"/>
    <col min="5" max="36" width="7" customWidth="1"/>
  </cols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4">
        <v>3.333E-3</v>
      </c>
    </row>
    <row r="5" spans="1:36" x14ac:dyDescent="0.3">
      <c r="B5" s="2" t="s">
        <v>2</v>
      </c>
      <c r="C5" s="4">
        <f>(C9*C8*C4^2)/(2*C10)</f>
        <v>4.8584330270270266E-2</v>
      </c>
    </row>
    <row r="6" spans="1:36" x14ac:dyDescent="0.3">
      <c r="B6" s="2" t="s">
        <v>3</v>
      </c>
      <c r="C6" s="2">
        <v>60</v>
      </c>
      <c r="D6">
        <v>60.001647883783782</v>
      </c>
    </row>
    <row r="7" spans="1:36" x14ac:dyDescent="0.3">
      <c r="A7" s="5"/>
      <c r="B7" s="6"/>
      <c r="C7" s="6"/>
      <c r="D7" s="5"/>
    </row>
    <row r="8" spans="1:36" x14ac:dyDescent="0.3">
      <c r="B8" s="2" t="s">
        <v>4</v>
      </c>
      <c r="C8" s="2">
        <v>400</v>
      </c>
    </row>
    <row r="9" spans="1:36" x14ac:dyDescent="0.3">
      <c r="B9" s="2" t="s">
        <v>5</v>
      </c>
      <c r="C9" s="2">
        <v>8900</v>
      </c>
    </row>
    <row r="10" spans="1:36" x14ac:dyDescent="0.3">
      <c r="B10" s="2" t="s">
        <v>6</v>
      </c>
      <c r="C10" s="2">
        <v>407</v>
      </c>
    </row>
    <row r="11" spans="1:36" x14ac:dyDescent="0.3">
      <c r="A11" s="5"/>
      <c r="B11" s="6"/>
      <c r="C11" s="6"/>
      <c r="D11" s="5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8</v>
      </c>
      <c r="C12" s="2">
        <v>300</v>
      </c>
      <c r="E12" s="8" t="s">
        <v>0</v>
      </c>
      <c r="F12" s="9">
        <v>0</v>
      </c>
      <c r="G12" s="3">
        <f>F12+$C$4</f>
        <v>3.333E-3</v>
      </c>
      <c r="H12" s="3">
        <f t="shared" ref="H12:AJ12" si="0">G12+$C$4</f>
        <v>6.6660000000000001E-3</v>
      </c>
      <c r="I12" s="3">
        <f t="shared" si="0"/>
        <v>9.9990000000000009E-3</v>
      </c>
      <c r="J12" s="3">
        <f t="shared" si="0"/>
        <v>1.3332E-2</v>
      </c>
      <c r="K12" s="3">
        <f t="shared" si="0"/>
        <v>1.6664999999999999E-2</v>
      </c>
      <c r="L12" s="3">
        <f t="shared" si="0"/>
        <v>1.9997999999999998E-2</v>
      </c>
      <c r="M12" s="3">
        <f t="shared" si="0"/>
        <v>2.3330999999999998E-2</v>
      </c>
      <c r="N12" s="3">
        <f t="shared" si="0"/>
        <v>2.6663999999999997E-2</v>
      </c>
      <c r="O12" s="3">
        <f t="shared" si="0"/>
        <v>2.9996999999999996E-2</v>
      </c>
      <c r="P12" s="3">
        <f t="shared" si="0"/>
        <v>3.3329999999999999E-2</v>
      </c>
      <c r="Q12" s="3">
        <f t="shared" si="0"/>
        <v>3.6663000000000001E-2</v>
      </c>
      <c r="R12" s="3">
        <f t="shared" si="0"/>
        <v>3.9996000000000004E-2</v>
      </c>
      <c r="S12" s="3">
        <f t="shared" si="0"/>
        <v>4.3329000000000006E-2</v>
      </c>
      <c r="T12" s="3">
        <f t="shared" si="0"/>
        <v>4.6662000000000009E-2</v>
      </c>
      <c r="U12" s="3">
        <f t="shared" si="0"/>
        <v>4.9995000000000012E-2</v>
      </c>
      <c r="V12" s="3">
        <f t="shared" si="0"/>
        <v>5.3328000000000014E-2</v>
      </c>
      <c r="W12" s="3">
        <f t="shared" si="0"/>
        <v>5.6661000000000017E-2</v>
      </c>
      <c r="X12" s="3">
        <f t="shared" si="0"/>
        <v>5.999400000000002E-2</v>
      </c>
      <c r="Y12" s="3">
        <f t="shared" si="0"/>
        <v>6.3327000000000022E-2</v>
      </c>
      <c r="Z12" s="3">
        <f t="shared" si="0"/>
        <v>6.6660000000000025E-2</v>
      </c>
      <c r="AA12" s="3">
        <f t="shared" si="0"/>
        <v>6.9993000000000027E-2</v>
      </c>
      <c r="AB12" s="3">
        <f t="shared" si="0"/>
        <v>7.332600000000003E-2</v>
      </c>
      <c r="AC12" s="3">
        <f t="shared" si="0"/>
        <v>7.6659000000000033E-2</v>
      </c>
      <c r="AD12" s="3">
        <f t="shared" si="0"/>
        <v>7.9992000000000035E-2</v>
      </c>
      <c r="AE12" s="3">
        <f t="shared" si="0"/>
        <v>8.3325000000000038E-2</v>
      </c>
      <c r="AF12" s="3">
        <f t="shared" si="0"/>
        <v>8.6658000000000041E-2</v>
      </c>
      <c r="AG12" s="3">
        <f t="shared" si="0"/>
        <v>8.9991000000000043E-2</v>
      </c>
      <c r="AH12" s="3">
        <f t="shared" si="0"/>
        <v>9.3324000000000046E-2</v>
      </c>
      <c r="AI12" s="3">
        <f t="shared" si="0"/>
        <v>9.6657000000000048E-2</v>
      </c>
      <c r="AJ12" s="3">
        <f t="shared" si="0"/>
        <v>9.9990000000000051E-2</v>
      </c>
    </row>
    <row r="13" spans="1:36" x14ac:dyDescent="0.3">
      <c r="B13" s="2" t="s">
        <v>9</v>
      </c>
      <c r="C13" s="2">
        <v>100</v>
      </c>
      <c r="E13" s="8" t="s">
        <v>7</v>
      </c>
      <c r="F13">
        <f>C12</f>
        <v>300</v>
      </c>
      <c r="G13">
        <v>293.30210171022179</v>
      </c>
      <c r="H13">
        <v>286.60454560064312</v>
      </c>
      <c r="I13">
        <v>279.90767010246554</v>
      </c>
      <c r="J13">
        <v>273.21180618996982</v>
      </c>
      <c r="K13">
        <v>266.51727375429169</v>
      </c>
      <c r="L13">
        <v>259.82437809862876</v>
      </c>
      <c r="M13">
        <v>253.13340659327352</v>
      </c>
      <c r="N13">
        <v>246.44462552712505</v>
      </c>
      <c r="O13">
        <v>239.75827719017175</v>
      </c>
      <c r="P13">
        <v>233.07457721891177</v>
      </c>
      <c r="Q13">
        <v>226.3937122337941</v>
      </c>
      <c r="R13">
        <v>219.7158377945662</v>
      </c>
      <c r="S13">
        <v>213.04107669592895</v>
      </c>
      <c r="T13">
        <v>206.36951762217177</v>
      </c>
      <c r="U13">
        <v>199.70121417552957</v>
      </c>
      <c r="V13">
        <v>193.03618428890525</v>
      </c>
      <c r="W13">
        <v>186.37441002939306</v>
      </c>
      <c r="X13">
        <v>179.71583779475534</v>
      </c>
      <c r="Y13">
        <v>173.06037890069993</v>
      </c>
      <c r="Z13">
        <v>166.40791055252396</v>
      </c>
      <c r="AA13">
        <v>159.75827719047811</v>
      </c>
      <c r="AB13">
        <v>153.11129219411217</v>
      </c>
      <c r="AC13">
        <v>146.46673992692737</v>
      </c>
      <c r="AD13">
        <v>139.82437809893526</v>
      </c>
      <c r="AE13">
        <v>133.18394042123745</v>
      </c>
      <c r="AF13">
        <v>126.54513952354249</v>
      </c>
      <c r="AG13">
        <v>119.90767010265486</v>
      </c>
      <c r="AH13">
        <v>113.27121226744073</v>
      </c>
      <c r="AI13">
        <v>106.63543504362204</v>
      </c>
      <c r="AJ13">
        <f>C13</f>
        <v>100</v>
      </c>
    </row>
    <row r="15" spans="1:36" x14ac:dyDescent="0.3">
      <c r="B15" s="10" t="s">
        <v>11</v>
      </c>
      <c r="C15" s="8">
        <f xml:space="preserve"> C10/(C4^2)</f>
        <v>36637327.099046543</v>
      </c>
      <c r="E15" s="8" t="s">
        <v>10</v>
      </c>
      <c r="F15" s="8"/>
      <c r="G15" s="2">
        <f t="shared" ref="G15:AH15" si="1">G17*H15+G18</f>
        <v>293.30227186817842</v>
      </c>
      <c r="H15" s="2">
        <f t="shared" si="1"/>
        <v>286.60488405227022</v>
      </c>
      <c r="I15" s="2">
        <f t="shared" si="1"/>
        <v>279.90817313961622</v>
      </c>
      <c r="J15" s="2">
        <f t="shared" si="1"/>
        <v>273.2124683012637</v>
      </c>
      <c r="K15" s="2">
        <f t="shared" si="1"/>
        <v>266.51808768549887</v>
      </c>
      <c r="L15" s="2">
        <f t="shared" si="1"/>
        <v>259.82533493214839</v>
      </c>
      <c r="M15" s="2">
        <f t="shared" si="1"/>
        <v>253.13449584583731</v>
      </c>
      <c r="N15" s="2">
        <f t="shared" si="1"/>
        <v>246.44583526465379</v>
      </c>
      <c r="O15" s="2">
        <f t="shared" si="1"/>
        <v>239.75959415852788</v>
      </c>
      <c r="P15" s="2">
        <f t="shared" si="1"/>
        <v>233.0759869891142</v>
      </c>
      <c r="Q15" s="2">
        <f t="shared" si="1"/>
        <v>226.39519936010544</v>
      </c>
      <c r="R15" s="2">
        <f t="shared" si="1"/>
        <v>219.71738598371928</v>
      </c>
      <c r="S15" s="2">
        <f t="shared" si="1"/>
        <v>213.04266898563932</v>
      </c>
      <c r="T15" s="2">
        <f t="shared" si="1"/>
        <v>206.37113656698017</v>
      </c>
      <c r="U15" s="2">
        <f t="shared" si="1"/>
        <v>199.70284203793787</v>
      </c>
      <c r="V15" s="2">
        <f t="shared" si="1"/>
        <v>193.03780323371222</v>
      </c>
      <c r="W15" s="2">
        <f t="shared" si="1"/>
        <v>186.37600231910068</v>
      </c>
      <c r="X15" s="2">
        <f t="shared" si="1"/>
        <v>179.71738598390436</v>
      </c>
      <c r="Y15" s="2">
        <f t="shared" si="1"/>
        <v>173.06186602700615</v>
      </c>
      <c r="Z15" s="2">
        <f t="shared" si="1"/>
        <v>166.40932032272042</v>
      </c>
      <c r="AA15" s="2">
        <f t="shared" si="1"/>
        <v>159.75959415882767</v>
      </c>
      <c r="AB15" s="2">
        <f t="shared" si="1"/>
        <v>153.11250193163409</v>
      </c>
      <c r="AC15" s="2">
        <f t="shared" si="1"/>
        <v>146.46782917948428</v>
      </c>
      <c r="AD15" s="2">
        <f t="shared" si="1"/>
        <v>139.82533493244836</v>
      </c>
      <c r="AE15" s="2">
        <f t="shared" si="1"/>
        <v>133.18475435243863</v>
      </c>
      <c r="AF15" s="2">
        <f t="shared" si="1"/>
        <v>126.54580163483126</v>
      </c>
      <c r="AG15" s="2">
        <f t="shared" si="1"/>
        <v>119.90817313980151</v>
      </c>
      <c r="AH15" s="2">
        <f t="shared" si="1"/>
        <v>113.27155071906505</v>
      </c>
      <c r="AI15" s="2">
        <f>AI17*AJ15+AI18</f>
        <v>106.63560520157728</v>
      </c>
      <c r="AJ15" s="8">
        <v>100</v>
      </c>
    </row>
    <row r="16" spans="1:36" x14ac:dyDescent="0.3">
      <c r="B16" s="10" t="s">
        <v>12</v>
      </c>
      <c r="C16" s="8">
        <f>( 2*C10)/(C4^2)+(C9*C8)/C5</f>
        <v>146549308.39618617</v>
      </c>
    </row>
    <row r="17" spans="2:35" x14ac:dyDescent="0.3">
      <c r="B17" s="10" t="s">
        <v>13</v>
      </c>
      <c r="C17" s="8">
        <f xml:space="preserve"> C15</f>
        <v>36637327.099046543</v>
      </c>
      <c r="E17" s="8" t="s">
        <v>14</v>
      </c>
      <c r="F17" s="8">
        <v>0</v>
      </c>
      <c r="G17" s="8">
        <f>$C$15/($C$16-$C$17*F17)</f>
        <v>0.25</v>
      </c>
      <c r="H17" s="8">
        <f t="shared" ref="H17:AI17" si="2">$C$15/($C$16-$C$17*G17)</f>
        <v>0.26666666666666666</v>
      </c>
      <c r="I17" s="8">
        <f t="shared" si="2"/>
        <v>0.26785714285714285</v>
      </c>
      <c r="J17" s="8">
        <f t="shared" si="2"/>
        <v>0.26794258373205743</v>
      </c>
      <c r="K17" s="8">
        <f t="shared" si="2"/>
        <v>0.26794871794871794</v>
      </c>
      <c r="L17" s="8">
        <f t="shared" si="2"/>
        <v>0.26794915836482308</v>
      </c>
      <c r="M17" s="8">
        <f t="shared" si="2"/>
        <v>0.26794918998527245</v>
      </c>
      <c r="N17" s="8">
        <f t="shared" si="2"/>
        <v>0.26794919225551855</v>
      </c>
      <c r="O17" s="8">
        <f t="shared" si="2"/>
        <v>0.26794919241851489</v>
      </c>
      <c r="P17" s="8">
        <f t="shared" si="2"/>
        <v>0.26794919243021753</v>
      </c>
      <c r="Q17" s="8">
        <f t="shared" si="2"/>
        <v>0.26794919243105775</v>
      </c>
      <c r="R17" s="8">
        <f t="shared" si="2"/>
        <v>0.26794919243111803</v>
      </c>
      <c r="S17" s="8">
        <f t="shared" si="2"/>
        <v>0.26794919243112242</v>
      </c>
      <c r="T17" s="8">
        <f t="shared" si="2"/>
        <v>0.2679491924311227</v>
      </c>
      <c r="U17" s="8">
        <f t="shared" si="2"/>
        <v>0.2679491924311227</v>
      </c>
      <c r="V17" s="8">
        <f t="shared" si="2"/>
        <v>0.2679491924311227</v>
      </c>
      <c r="W17" s="8">
        <f t="shared" si="2"/>
        <v>0.2679491924311227</v>
      </c>
      <c r="X17" s="8">
        <f t="shared" si="2"/>
        <v>0.2679491924311227</v>
      </c>
      <c r="Y17" s="8">
        <f t="shared" si="2"/>
        <v>0.2679491924311227</v>
      </c>
      <c r="Z17" s="8">
        <f t="shared" si="2"/>
        <v>0.2679491924311227</v>
      </c>
      <c r="AA17" s="8">
        <f t="shared" si="2"/>
        <v>0.2679491924311227</v>
      </c>
      <c r="AB17" s="8">
        <f t="shared" si="2"/>
        <v>0.2679491924311227</v>
      </c>
      <c r="AC17" s="8">
        <f t="shared" si="2"/>
        <v>0.2679491924311227</v>
      </c>
      <c r="AD17" s="8">
        <f t="shared" si="2"/>
        <v>0.2679491924311227</v>
      </c>
      <c r="AE17" s="8">
        <f t="shared" si="2"/>
        <v>0.2679491924311227</v>
      </c>
      <c r="AF17" s="8">
        <f t="shared" si="2"/>
        <v>0.2679491924311227</v>
      </c>
      <c r="AG17" s="8">
        <f t="shared" si="2"/>
        <v>0.2679491924311227</v>
      </c>
      <c r="AH17" s="8">
        <f t="shared" si="2"/>
        <v>0.2679491924311227</v>
      </c>
      <c r="AI17" s="8">
        <f t="shared" si="2"/>
        <v>0.2679491924311227</v>
      </c>
    </row>
    <row r="18" spans="2:35" x14ac:dyDescent="0.3">
      <c r="E18" s="8" t="s">
        <v>15</v>
      </c>
      <c r="F18" s="8">
        <f>F13</f>
        <v>300</v>
      </c>
      <c r="G18" s="8">
        <f>(F18*$C$17-G19)/($C$16-$C$17*F17)</f>
        <v>221.6510508551109</v>
      </c>
      <c r="H18" s="8">
        <f t="shared" ref="H18:AI18" si="3">(G18*$C$17-H19)/($C$16-$C$17*G17)</f>
        <v>211.96270454837259</v>
      </c>
      <c r="I18" s="8">
        <f t="shared" si="3"/>
        <v>206.72626198749205</v>
      </c>
      <c r="J18" s="8">
        <f t="shared" si="3"/>
        <v>201.80092327548411</v>
      </c>
      <c r="K18" s="8">
        <f t="shared" si="3"/>
        <v>196.89822229983346</v>
      </c>
      <c r="L18" s="8">
        <f t="shared" si="3"/>
        <v>191.9981598171525</v>
      </c>
      <c r="M18" s="8">
        <f t="shared" si="3"/>
        <v>187.09953391142943</v>
      </c>
      <c r="N18" s="8">
        <f t="shared" si="3"/>
        <v>182.20244567436532</v>
      </c>
      <c r="O18" s="8">
        <f t="shared" si="3"/>
        <v>177.30707167264643</v>
      </c>
      <c r="P18" s="8">
        <f t="shared" si="3"/>
        <v>172.41357615049586</v>
      </c>
      <c r="Q18" s="8">
        <f t="shared" si="3"/>
        <v>167.52210322270486</v>
      </c>
      <c r="R18" s="8">
        <f t="shared" si="3"/>
        <v>162.63277487564721</v>
      </c>
      <c r="S18" s="8">
        <f t="shared" si="3"/>
        <v>157.74568960142412</v>
      </c>
      <c r="T18" s="8">
        <f t="shared" si="3"/>
        <v>152.86092131671467</v>
      </c>
      <c r="U18" s="8">
        <f t="shared" si="3"/>
        <v>147.97851855278671</v>
      </c>
      <c r="V18" s="8">
        <f t="shared" si="3"/>
        <v>143.09850392376816</v>
      </c>
      <c r="W18" s="8">
        <f t="shared" si="3"/>
        <v>138.22087387888115</v>
      </c>
      <c r="X18" s="8">
        <f t="shared" si="3"/>
        <v>133.34559874134493</v>
      </c>
      <c r="Y18" s="8">
        <f t="shared" si="3"/>
        <v>128.47262303352119</v>
      </c>
      <c r="Z18" s="8">
        <f t="shared" si="3"/>
        <v>123.60186608473865</v>
      </c>
      <c r="AA18" s="8">
        <f t="shared" si="3"/>
        <v>118.73322291513762</v>
      </c>
      <c r="AB18" s="8">
        <f t="shared" si="3"/>
        <v>113.86656538585163</v>
      </c>
      <c r="AC18" s="8">
        <f t="shared" si="3"/>
        <v>109.0017436029235</v>
      </c>
      <c r="AD18" s="8">
        <f t="shared" si="3"/>
        <v>104.13858755957496</v>
      </c>
      <c r="AE18" s="8">
        <f t="shared" si="3"/>
        <v>99.276908998836532</v>
      </c>
      <c r="AF18" s="8">
        <f t="shared" si="3"/>
        <v>94.416503476130202</v>
      </c>
      <c r="AG18" s="8">
        <f t="shared" si="3"/>
        <v>89.557152599207072</v>
      </c>
      <c r="AH18" s="8">
        <f t="shared" si="3"/>
        <v>84.698626420898393</v>
      </c>
      <c r="AI18" s="8">
        <f t="shared" si="3"/>
        <v>79.840685958465016</v>
      </c>
    </row>
    <row r="19" spans="2:35" x14ac:dyDescent="0.3">
      <c r="E19" s="8" t="s">
        <v>16</v>
      </c>
      <c r="F19" s="8">
        <f xml:space="preserve"> -(($C$9*$C$8)/$C$5)*F13</f>
        <v>-21982396259.427925</v>
      </c>
      <c r="G19" s="8">
        <f t="shared" ref="G19:AI19" si="4" xml:space="preserve"> -(($C$9*$C$8)/$C$5)*G13</f>
        <v>-21491610078.39043</v>
      </c>
      <c r="H19" s="8">
        <f t="shared" si="4"/>
        <v>-21000848970.488728</v>
      </c>
      <c r="I19" s="8">
        <f t="shared" si="4"/>
        <v>-20510137734.152081</v>
      </c>
      <c r="J19" s="8">
        <f t="shared" si="4"/>
        <v>-20019500621.406467</v>
      </c>
      <c r="K19" s="8">
        <f t="shared" si="4"/>
        <v>-19528961072.164234</v>
      </c>
      <c r="L19" s="8">
        <f t="shared" si="4"/>
        <v>-19038541457.411613</v>
      </c>
      <c r="M19" s="8">
        <f t="shared" si="4"/>
        <v>-18548262834.107414</v>
      </c>
      <c r="N19" s="8">
        <f t="shared" si="4"/>
        <v>-18058144714.478634</v>
      </c>
      <c r="O19" s="8">
        <f t="shared" si="4"/>
        <v>-17568204852.240383</v>
      </c>
      <c r="P19" s="8">
        <f t="shared" si="4"/>
        <v>-17078459048.082504</v>
      </c>
      <c r="Q19" s="8">
        <f t="shared" si="4"/>
        <v>-16588920976.55386</v>
      </c>
      <c r="R19" s="8">
        <f t="shared" si="4"/>
        <v>-16099602036.24115</v>
      </c>
      <c r="S19" s="8">
        <f t="shared" si="4"/>
        <v>-15610511224.883621</v>
      </c>
      <c r="T19" s="8">
        <f t="shared" si="4"/>
        <v>-15121655040.791914</v>
      </c>
      <c r="U19" s="8">
        <f t="shared" si="4"/>
        <v>-14633037411.651255</v>
      </c>
      <c r="V19" s="8">
        <f t="shared" si="4"/>
        <v>-14144659651.488901</v>
      </c>
      <c r="W19" s="8">
        <f t="shared" si="4"/>
        <v>-13656520446.277388</v>
      </c>
      <c r="X19" s="8">
        <f t="shared" si="4"/>
        <v>-13168615868.331285</v>
      </c>
      <c r="Y19" s="8">
        <f t="shared" si="4"/>
        <v>-12680939419.339752</v>
      </c>
      <c r="Z19" s="8">
        <f t="shared" si="4"/>
        <v>-12193482101.563398</v>
      </c>
      <c r="AA19" s="8">
        <f t="shared" si="4"/>
        <v>-11706232516.415386</v>
      </c>
      <c r="AB19" s="8">
        <f t="shared" si="4"/>
        <v>-11219176989.346758</v>
      </c>
      <c r="AC19" s="8">
        <f t="shared" si="4"/>
        <v>-10732299719.667637</v>
      </c>
      <c r="AD19" s="8">
        <f t="shared" si="4"/>
        <v>-10245582953.662901</v>
      </c>
      <c r="AE19" s="8">
        <f t="shared" si="4"/>
        <v>-9759007179.1056061</v>
      </c>
      <c r="AF19" s="8">
        <f t="shared" si="4"/>
        <v>-9272551339.0370178</v>
      </c>
      <c r="AG19" s="8">
        <f t="shared" si="4"/>
        <v>-8786193062.4710598</v>
      </c>
      <c r="AH19" s="8">
        <f t="shared" si="4"/>
        <v>-8299908909.4955187</v>
      </c>
      <c r="AI19" s="8">
        <f t="shared" si="4"/>
        <v>-7813674628.0846224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J17"/>
  <sheetViews>
    <sheetView topLeftCell="D1" zoomScale="70" zoomScaleNormal="70" workbookViewId="0">
      <selection activeCell="G13" sqref="G13:AI13"/>
    </sheetView>
  </sheetViews>
  <sheetFormatPr defaultRowHeight="14.4" x14ac:dyDescent="0.3"/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4">
        <v>3.333E-3</v>
      </c>
    </row>
    <row r="5" spans="1:36" x14ac:dyDescent="0.3">
      <c r="B5" s="2" t="s">
        <v>2</v>
      </c>
      <c r="C5" s="4">
        <f>(C9*C8*C4^2)/(2*C10)</f>
        <v>4.8584330270270266E-2</v>
      </c>
    </row>
    <row r="6" spans="1:36" x14ac:dyDescent="0.3">
      <c r="B6" s="2" t="s">
        <v>3</v>
      </c>
      <c r="C6" s="2">
        <v>60</v>
      </c>
      <c r="D6">
        <v>60.001647883783782</v>
      </c>
    </row>
    <row r="7" spans="1:36" x14ac:dyDescent="0.3">
      <c r="A7" s="5"/>
      <c r="B7" s="6"/>
      <c r="C7" s="6"/>
      <c r="D7" s="5"/>
    </row>
    <row r="8" spans="1:36" x14ac:dyDescent="0.3">
      <c r="B8" s="2" t="s">
        <v>4</v>
      </c>
      <c r="C8" s="2">
        <v>400</v>
      </c>
    </row>
    <row r="9" spans="1:36" x14ac:dyDescent="0.3">
      <c r="B9" s="2" t="s">
        <v>5</v>
      </c>
      <c r="C9" s="2">
        <v>8900</v>
      </c>
    </row>
    <row r="10" spans="1:36" x14ac:dyDescent="0.3">
      <c r="B10" s="2" t="s">
        <v>6</v>
      </c>
      <c r="C10" s="2">
        <v>407</v>
      </c>
    </row>
    <row r="11" spans="1:36" x14ac:dyDescent="0.3">
      <c r="A11" s="5"/>
      <c r="B11" s="6"/>
      <c r="C11" s="6"/>
      <c r="D11" s="5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3.333E-3</v>
      </c>
      <c r="H12" s="3">
        <f t="shared" ref="H12:AJ12" si="0">G12+$C$4</f>
        <v>6.6660000000000001E-3</v>
      </c>
      <c r="I12" s="3">
        <f t="shared" si="0"/>
        <v>9.9990000000000009E-3</v>
      </c>
      <c r="J12" s="3">
        <f t="shared" si="0"/>
        <v>1.3332E-2</v>
      </c>
      <c r="K12" s="3">
        <f t="shared" si="0"/>
        <v>1.6664999999999999E-2</v>
      </c>
      <c r="L12" s="3">
        <f t="shared" si="0"/>
        <v>1.9997999999999998E-2</v>
      </c>
      <c r="M12" s="3">
        <f t="shared" si="0"/>
        <v>2.3330999999999998E-2</v>
      </c>
      <c r="N12" s="3">
        <f t="shared" si="0"/>
        <v>2.6663999999999997E-2</v>
      </c>
      <c r="O12" s="3">
        <f t="shared" si="0"/>
        <v>2.9996999999999996E-2</v>
      </c>
      <c r="P12" s="3">
        <f t="shared" si="0"/>
        <v>3.3329999999999999E-2</v>
      </c>
      <c r="Q12" s="3">
        <f t="shared" si="0"/>
        <v>3.6663000000000001E-2</v>
      </c>
      <c r="R12" s="3">
        <f t="shared" si="0"/>
        <v>3.9996000000000004E-2</v>
      </c>
      <c r="S12" s="3">
        <f t="shared" si="0"/>
        <v>4.3329000000000006E-2</v>
      </c>
      <c r="T12" s="3">
        <f t="shared" si="0"/>
        <v>4.6662000000000009E-2</v>
      </c>
      <c r="U12" s="3">
        <f t="shared" si="0"/>
        <v>4.9995000000000012E-2</v>
      </c>
      <c r="V12" s="3">
        <f t="shared" si="0"/>
        <v>5.3328000000000014E-2</v>
      </c>
      <c r="W12" s="3">
        <f t="shared" si="0"/>
        <v>5.6661000000000017E-2</v>
      </c>
      <c r="X12" s="3">
        <f t="shared" si="0"/>
        <v>5.999400000000002E-2</v>
      </c>
      <c r="Y12" s="3">
        <f t="shared" si="0"/>
        <v>6.3327000000000022E-2</v>
      </c>
      <c r="Z12" s="3">
        <f t="shared" si="0"/>
        <v>6.6660000000000025E-2</v>
      </c>
      <c r="AA12" s="3">
        <f t="shared" si="0"/>
        <v>6.9993000000000027E-2</v>
      </c>
      <c r="AB12" s="3">
        <f t="shared" si="0"/>
        <v>7.332600000000003E-2</v>
      </c>
      <c r="AC12" s="3">
        <f t="shared" si="0"/>
        <v>7.6659000000000033E-2</v>
      </c>
      <c r="AD12" s="3">
        <f t="shared" si="0"/>
        <v>7.9992000000000035E-2</v>
      </c>
      <c r="AE12" s="3">
        <f t="shared" si="0"/>
        <v>8.3325000000000038E-2</v>
      </c>
      <c r="AF12" s="3">
        <f t="shared" si="0"/>
        <v>8.6658000000000041E-2</v>
      </c>
      <c r="AG12" s="3">
        <f t="shared" si="0"/>
        <v>8.9991000000000043E-2</v>
      </c>
      <c r="AH12" s="3">
        <f t="shared" si="0"/>
        <v>9.3324000000000046E-2</v>
      </c>
      <c r="AI12" s="3">
        <f t="shared" si="0"/>
        <v>9.6657000000000048E-2</v>
      </c>
      <c r="AJ12" s="3">
        <f t="shared" si="0"/>
        <v>9.9990000000000051E-2</v>
      </c>
    </row>
    <row r="13" spans="1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5" spans="1:36" x14ac:dyDescent="0.3">
      <c r="B15" s="7"/>
      <c r="E15" t="s">
        <v>10</v>
      </c>
      <c r="G15" s="1">
        <f>G13+(($C$10*$C$5)/($C$9*$C$8))*((H13-2*G13+F13)/($C$4^2))</f>
        <v>150</v>
      </c>
      <c r="H15" s="1">
        <f>H13+(($C$10*$C$5)/($C$9*$C$8))*((I13-2*H13+G13)/($C$4^2))</f>
        <v>0</v>
      </c>
      <c r="I15" s="1">
        <f t="shared" ref="I15:AI15" si="1">I13+(($C$10*$C$5)/($C$9*$C$8))*((J13-2*I13+H13)/($C$4^2))</f>
        <v>0</v>
      </c>
      <c r="J15" s="1">
        <f t="shared" si="1"/>
        <v>0</v>
      </c>
      <c r="K15" s="1">
        <f t="shared" si="1"/>
        <v>0</v>
      </c>
      <c r="L15" s="1">
        <f t="shared" si="1"/>
        <v>0</v>
      </c>
      <c r="M15" s="1">
        <f t="shared" si="1"/>
        <v>0</v>
      </c>
      <c r="N15" s="1">
        <f t="shared" si="1"/>
        <v>0</v>
      </c>
      <c r="O15" s="1">
        <f t="shared" si="1"/>
        <v>0</v>
      </c>
      <c r="P15" s="1">
        <f t="shared" si="1"/>
        <v>0</v>
      </c>
      <c r="Q15" s="1">
        <f t="shared" si="1"/>
        <v>0</v>
      </c>
      <c r="R15" s="1">
        <f t="shared" si="1"/>
        <v>0</v>
      </c>
      <c r="S15" s="1">
        <f t="shared" si="1"/>
        <v>0</v>
      </c>
      <c r="T15" s="1">
        <f t="shared" si="1"/>
        <v>0</v>
      </c>
      <c r="U15" s="1">
        <f t="shared" si="1"/>
        <v>0</v>
      </c>
      <c r="V15" s="1">
        <f t="shared" si="1"/>
        <v>0</v>
      </c>
      <c r="W15" s="1">
        <f t="shared" si="1"/>
        <v>0</v>
      </c>
      <c r="X15" s="1">
        <f t="shared" si="1"/>
        <v>0</v>
      </c>
      <c r="Y15" s="1">
        <f t="shared" si="1"/>
        <v>0</v>
      </c>
      <c r="Z15" s="1">
        <f t="shared" si="1"/>
        <v>0</v>
      </c>
      <c r="AA15" s="1">
        <f t="shared" si="1"/>
        <v>0</v>
      </c>
      <c r="AB15" s="1">
        <f t="shared" si="1"/>
        <v>0</v>
      </c>
      <c r="AC15" s="1">
        <f t="shared" si="1"/>
        <v>0</v>
      </c>
      <c r="AD15" s="1">
        <f t="shared" si="1"/>
        <v>0</v>
      </c>
      <c r="AE15" s="1">
        <f t="shared" si="1"/>
        <v>0</v>
      </c>
      <c r="AF15" s="1">
        <f t="shared" si="1"/>
        <v>0</v>
      </c>
      <c r="AG15" s="1">
        <f t="shared" si="1"/>
        <v>0</v>
      </c>
      <c r="AH15" s="1">
        <f t="shared" si="1"/>
        <v>0</v>
      </c>
      <c r="AI15" s="1">
        <f t="shared" si="1"/>
        <v>50</v>
      </c>
    </row>
    <row r="16" spans="1:36" x14ac:dyDescent="0.3">
      <c r="B16" s="7"/>
    </row>
    <row r="17" spans="2:2" x14ac:dyDescent="0.3">
      <c r="B17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Чуканов</dc:creator>
  <cp:lastModifiedBy>Илья Чуканов</cp:lastModifiedBy>
  <dcterms:created xsi:type="dcterms:W3CDTF">2015-06-05T18:17:20Z</dcterms:created>
  <dcterms:modified xsi:type="dcterms:W3CDTF">2021-11-01T12:03:10Z</dcterms:modified>
</cp:coreProperties>
</file>